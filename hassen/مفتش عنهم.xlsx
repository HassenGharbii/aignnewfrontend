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TAT\Desktop\إستمرار 2\2026\جانفي\امن عام\المفتش عنهم + المداهمات\"/>
    </mc:Choice>
  </mc:AlternateContent>
  <xr:revisionPtr revIDLastSave="0" documentId="13_ncr:1_{6E36A10E-82A0-4DDC-910F-2C99E253896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النشاط" sheetId="4" r:id="rId1"/>
    <sheet name="العناصر الخطيرة   " sheetId="3" r:id="rId2"/>
    <sheet name="العناصر السلفية  " sheetId="2" r:id="rId3"/>
  </sheets>
  <definedNames>
    <definedName name="_xlnm.Print_Area" localSheetId="2">'العناصر السلفية  '!$A$1:$C$34</definedName>
    <definedName name="_xlnm.Print_Area" localSheetId="0">النشاط!$B$1:$F$36,النشاط!$I$1:$L$32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2" l="1"/>
  <c r="B34" i="2"/>
  <c r="D34" i="3"/>
  <c r="E34" i="3"/>
  <c r="E36" i="4" l="1"/>
  <c r="D36" i="4"/>
  <c r="C36" i="4"/>
  <c r="F34" i="4"/>
  <c r="F27" i="4"/>
  <c r="F35" i="4"/>
  <c r="L32" i="4"/>
  <c r="K32" i="4"/>
  <c r="J32" i="4"/>
  <c r="F33" i="4"/>
  <c r="F31" i="4"/>
  <c r="B28" i="3" s="1"/>
  <c r="F28" i="4"/>
  <c r="F30" i="4"/>
  <c r="F29" i="4"/>
  <c r="F17" i="4"/>
  <c r="F8" i="4"/>
  <c r="F13" i="4"/>
  <c r="F21" i="4"/>
  <c r="F15" i="4"/>
  <c r="F24" i="4"/>
  <c r="F26" i="4"/>
  <c r="F7" i="4"/>
  <c r="F11" i="4"/>
  <c r="F18" i="4"/>
  <c r="F6" i="4"/>
  <c r="F9" i="4"/>
  <c r="F10" i="4"/>
  <c r="B12" i="3" s="1"/>
  <c r="F25" i="4"/>
  <c r="F23" i="4"/>
  <c r="B10" i="3" s="1"/>
  <c r="F12" i="4"/>
  <c r="B8" i="3" s="1"/>
  <c r="F14" i="4"/>
  <c r="B7" i="3" s="1"/>
  <c r="F5" i="4"/>
  <c r="F19" i="4"/>
  <c r="F20" i="4"/>
  <c r="B4" i="3" s="1"/>
  <c r="F32" i="4"/>
  <c r="F16" i="4"/>
  <c r="B3" i="3" l="1"/>
  <c r="B16" i="3"/>
  <c r="B20" i="3"/>
  <c r="B24" i="3"/>
  <c r="B13" i="3"/>
  <c r="B21" i="3"/>
  <c r="B29" i="3"/>
  <c r="B17" i="3"/>
  <c r="B25" i="3"/>
  <c r="B30" i="3"/>
  <c r="B5" i="3"/>
  <c r="B14" i="3"/>
  <c r="B18" i="3"/>
  <c r="B22" i="3"/>
  <c r="B26" i="3"/>
  <c r="B31" i="3"/>
  <c r="B2" i="3"/>
  <c r="B6" i="3"/>
  <c r="B11" i="3"/>
  <c r="B23" i="3"/>
  <c r="B27" i="3"/>
  <c r="B32" i="3"/>
  <c r="F22" i="4"/>
  <c r="B9" i="3" s="1"/>
  <c r="B19" i="3" l="1"/>
  <c r="B15" i="3"/>
  <c r="B34" i="3" s="1"/>
  <c r="F36" i="4"/>
</calcChain>
</file>

<file path=xl/sharedStrings.xml><?xml version="1.0" encoding="utf-8"?>
<sst xmlns="http://schemas.openxmlformats.org/spreadsheetml/2006/main" count="146" uniqueCount="51">
  <si>
    <t>إدارة مكافحة الإرهاب</t>
  </si>
  <si>
    <t>إدارة الشؤون العدلية</t>
  </si>
  <si>
    <t>إدارة حرس المرور</t>
  </si>
  <si>
    <t>أريانة</t>
  </si>
  <si>
    <t>إقليم الحرس البحري بالجنوب</t>
  </si>
  <si>
    <t>إقليم الحرس البحري بالساحل</t>
  </si>
  <si>
    <t>إقليم الحرس البحري بالشمال</t>
  </si>
  <si>
    <t>إقليم الحرس البحري بالوسط</t>
  </si>
  <si>
    <t>الفرق المركزية للأبحاث</t>
  </si>
  <si>
    <t>القصرين</t>
  </si>
  <si>
    <t>القيروان</t>
  </si>
  <si>
    <t>الكاف</t>
  </si>
  <si>
    <t>المنستير</t>
  </si>
  <si>
    <t>المهدية</t>
  </si>
  <si>
    <t>باجة</t>
  </si>
  <si>
    <t>بن عروس</t>
  </si>
  <si>
    <t>بنزرت</t>
  </si>
  <si>
    <t>تطاوين</t>
  </si>
  <si>
    <t>توزر</t>
  </si>
  <si>
    <t>تونس</t>
  </si>
  <si>
    <t>جندوبة</t>
  </si>
  <si>
    <t>زغوان</t>
  </si>
  <si>
    <t>سليانة</t>
  </si>
  <si>
    <t>سوسة</t>
  </si>
  <si>
    <t>سيدي بوزيد</t>
  </si>
  <si>
    <t>صفاقس</t>
  </si>
  <si>
    <t>قابس</t>
  </si>
  <si>
    <t>قبلي</t>
  </si>
  <si>
    <t>قفصة</t>
  </si>
  <si>
    <t>مدنين</t>
  </si>
  <si>
    <t>نابل</t>
  </si>
  <si>
    <r>
      <t xml:space="preserve">عدد المحتفظ بهم </t>
    </r>
    <r>
      <rPr>
        <sz val="14"/>
        <color rgb="FFFF0000"/>
        <rFont val="Sultan bold"/>
        <charset val="178"/>
      </rPr>
      <t>المفتش</t>
    </r>
    <r>
      <rPr>
        <sz val="14"/>
        <color rgb="FF000000"/>
        <rFont val="Sultan bold"/>
        <charset val="178"/>
      </rPr>
      <t xml:space="preserve"> عنهم من أجل الاشتباه أو الانتماء إلى تنظيم إرهابي</t>
    </r>
  </si>
  <si>
    <t>عدد المحتفظ بهم من أجل الاشتباه أو الانتماء إلى تنظيم إرهابي</t>
  </si>
  <si>
    <t>الأقاليم</t>
  </si>
  <si>
    <t>عدد العناصر الخطيرة المحتفظ بهم</t>
  </si>
  <si>
    <t>عدد الأشخاص المفتش عنهم والملقي عليهم القبض</t>
  </si>
  <si>
    <t xml:space="preserve">وسائل محل تفتيش </t>
  </si>
  <si>
    <t>الإقليم</t>
  </si>
  <si>
    <t>لفائدة الحرس الوطني</t>
  </si>
  <si>
    <t>لفائدة الأمن الوطني</t>
  </si>
  <si>
    <t>لفائدة العدالة</t>
  </si>
  <si>
    <t>المجموع</t>
  </si>
  <si>
    <t>المداهمات</t>
  </si>
  <si>
    <t>التحريات</t>
  </si>
  <si>
    <t>الإيقافات</t>
  </si>
  <si>
    <t xml:space="preserve">               وزارة الداخلية                                                                                                                                                   
     إدارة عمليات الحرس الوطني        </t>
  </si>
  <si>
    <t>كشف يومي في الأشخاص المفتش عنهم ليوم 2026/01/01</t>
  </si>
  <si>
    <t xml:space="preserve"> المداهمات ليوم 2026/01/01</t>
  </si>
  <si>
    <r>
      <t xml:space="preserve">          </t>
    </r>
    <r>
      <rPr>
        <sz val="10"/>
        <color theme="1"/>
        <rFont val="Calibri"/>
        <family val="2"/>
        <scheme val="minor"/>
      </rPr>
      <t xml:space="preserve">     وزارة الداخلية                                                                                                                                                     العوينة في :  2026/01/02
     إدارة عمليات الحرس الوطني        </t>
    </r>
  </si>
  <si>
    <t>عدد     / 91/</t>
  </si>
  <si>
    <t>عدد المفتش عنهم في حالة أحتفاظ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</si>
</sst>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13"/>
      <color rgb="FF000000"/>
      <name val="Sultan bold"/>
      <charset val="178"/>
    </font>
    <font>
      <sz val="14"/>
      <color rgb="FF000000"/>
      <name val="Sultan bold"/>
      <charset val="178"/>
    </font>
    <font>
      <sz val="14"/>
      <color rgb="FFFF0000"/>
      <name val="Sultan bold"/>
      <charset val="178"/>
    </font>
    <font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C000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4"/>
      <color rgb="FF000000"/>
      <name val="Sultan bold"/>
      <charset val="178"/>
    </font>
    <font>
      <b/>
      <sz val="14"/>
      <color rgb="FF006100"/>
      <name val="Calibri"/>
      <family val="2"/>
      <scheme val="minor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14"/>
      <color rgb="FF000000"/>
      <name val="Arial"/>
      <family val="2"/>
    </font>
    <font>
      <b/>
      <sz val="11"/>
      <color theme="3"/>
      <name val="Calibri"/>
      <family val="2"/>
      <scheme val="minor"/>
    </font>
    <font>
      <b/>
      <sz val="16"/>
      <color theme="3"/>
      <name val="Arabic Typesetting"/>
      <family val="2"/>
    </font>
    <font>
      <b/>
      <sz val="13"/>
      <color theme="1"/>
      <name val="Sultan bold"/>
    </font>
    <font>
      <b/>
      <sz val="12"/>
      <color theme="1"/>
      <name val="Sultan bold"/>
    </font>
    <font>
      <b/>
      <sz val="26"/>
      <color rgb="FFFF0000"/>
      <name val="Calibri"/>
      <family val="2"/>
      <scheme val="minor"/>
    </font>
    <font>
      <sz val="16"/>
      <color theme="1"/>
      <name val="Sultan bold"/>
      <charset val="178"/>
    </font>
    <font>
      <b/>
      <sz val="16"/>
      <color theme="1"/>
      <name val="Sultan bold"/>
      <charset val="178"/>
    </font>
  </fonts>
  <fills count="7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16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2" xfId="0" applyFont="1" applyBorder="1" applyAlignment="1">
      <alignment horizontal="center" vertical="center" wrapText="1" readingOrder="2"/>
    </xf>
    <xf numFmtId="0" fontId="2" fillId="2" borderId="2" xfId="0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 wrapText="1" readingOrder="2"/>
    </xf>
    <xf numFmtId="0" fontId="0" fillId="0" borderId="0" xfId="0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2" fillId="3" borderId="4" xfId="1" applyFont="1" applyBorder="1" applyAlignment="1" applyProtection="1">
      <alignment horizontal="center" vertical="center" wrapText="1" readingOrder="2"/>
      <protection locked="0"/>
    </xf>
    <xf numFmtId="0" fontId="11" fillId="0" borderId="4" xfId="0" applyFont="1" applyFill="1" applyBorder="1" applyAlignment="1" applyProtection="1">
      <alignment horizontal="center" vertical="center" wrapText="1" readingOrder="2"/>
      <protection locked="0"/>
    </xf>
    <xf numFmtId="0" fontId="12" fillId="3" borderId="4" xfId="1" applyFont="1" applyBorder="1" applyAlignment="1" applyProtection="1">
      <alignment horizontal="center" vertical="center" wrapText="1" readingOrder="2"/>
      <protection hidden="1"/>
    </xf>
    <xf numFmtId="0" fontId="12" fillId="3" borderId="5" xfId="1" applyFont="1" applyBorder="1" applyAlignment="1" applyProtection="1">
      <alignment horizontal="center" vertical="center" wrapText="1" readingOrder="2"/>
      <protection locked="0"/>
    </xf>
    <xf numFmtId="0" fontId="15" fillId="4" borderId="6" xfId="0" applyFont="1" applyFill="1" applyBorder="1" applyAlignment="1" applyProtection="1">
      <alignment horizontal="center" vertical="center" wrapText="1" readingOrder="2"/>
      <protection locked="0"/>
    </xf>
    <xf numFmtId="0" fontId="15" fillId="4" borderId="7" xfId="0" applyFont="1" applyFill="1" applyBorder="1" applyAlignment="1" applyProtection="1">
      <alignment horizontal="center" vertical="center" wrapText="1" readingOrder="2"/>
      <protection locked="0"/>
    </xf>
    <xf numFmtId="0" fontId="12" fillId="3" borderId="8" xfId="1" applyFont="1" applyBorder="1" applyAlignment="1" applyProtection="1">
      <alignment horizontal="center" vertical="center" wrapText="1" readingOrder="2"/>
      <protection locked="0"/>
    </xf>
    <xf numFmtId="0" fontId="10" fillId="3" borderId="9" xfId="1" applyFont="1" applyBorder="1" applyAlignment="1" applyProtection="1">
      <alignment horizontal="center" vertical="top" wrapText="1"/>
    </xf>
    <xf numFmtId="0" fontId="10" fillId="3" borderId="10" xfId="1" applyFont="1" applyBorder="1" applyAlignment="1" applyProtection="1">
      <alignment horizontal="center" vertical="top" wrapText="1"/>
    </xf>
    <xf numFmtId="0" fontId="17" fillId="0" borderId="11" xfId="2" applyFont="1" applyBorder="1" applyAlignment="1">
      <alignment horizontal="center" readingOrder="2"/>
    </xf>
    <xf numFmtId="0" fontId="18" fillId="0" borderId="3" xfId="0" applyFont="1" applyBorder="1" applyAlignment="1">
      <alignment horizontal="center" vertical="center" wrapText="1" readingOrder="2"/>
    </xf>
    <xf numFmtId="0" fontId="19" fillId="0" borderId="1" xfId="0" applyFont="1" applyBorder="1" applyAlignment="1">
      <alignment horizontal="center" vertical="center" wrapText="1" readingOrder="2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horizontal="center" vertical="center" wrapText="1" readingOrder="2"/>
    </xf>
    <xf numFmtId="0" fontId="17" fillId="5" borderId="15" xfId="2" applyFont="1" applyFill="1" applyBorder="1" applyAlignment="1">
      <alignment horizontal="center" readingOrder="2"/>
    </xf>
    <xf numFmtId="0" fontId="0" fillId="6" borderId="0" xfId="0" applyFill="1" applyAlignment="1" applyProtection="1">
      <alignment horizontal="center"/>
      <protection locked="0"/>
    </xf>
    <xf numFmtId="0" fontId="8" fillId="4" borderId="0" xfId="0" applyFont="1" applyFill="1" applyProtection="1">
      <protection locked="0"/>
    </xf>
    <xf numFmtId="0" fontId="0" fillId="4" borderId="0" xfId="0" applyFill="1" applyProtection="1">
      <protection locked="0"/>
    </xf>
    <xf numFmtId="0" fontId="1" fillId="0" borderId="16" xfId="0" applyFont="1" applyBorder="1" applyAlignment="1">
      <alignment horizontal="center" vertical="center" wrapText="1" readingOrder="2"/>
    </xf>
    <xf numFmtId="0" fontId="17" fillId="0" borderId="15" xfId="2" applyFont="1" applyBorder="1" applyAlignment="1">
      <alignment horizontal="center" readingOrder="2"/>
    </xf>
    <xf numFmtId="0" fontId="2" fillId="2" borderId="17" xfId="0" applyFont="1" applyFill="1" applyBorder="1" applyAlignment="1">
      <alignment horizontal="center" vertical="center" wrapText="1" readingOrder="2"/>
    </xf>
    <xf numFmtId="0" fontId="2" fillId="2" borderId="18" xfId="0" applyFont="1" applyFill="1" applyBorder="1" applyAlignment="1">
      <alignment horizontal="center" vertical="center" wrapText="1" readingOrder="2"/>
    </xf>
    <xf numFmtId="0" fontId="2" fillId="2" borderId="19" xfId="0" applyFont="1" applyFill="1" applyBorder="1" applyAlignment="1">
      <alignment horizontal="center" vertical="center" wrapText="1" readingOrder="2"/>
    </xf>
    <xf numFmtId="0" fontId="2" fillId="2" borderId="11" xfId="0" applyFont="1" applyFill="1" applyBorder="1" applyAlignment="1">
      <alignment horizontal="center" vertical="center" wrapText="1" readingOrder="2"/>
    </xf>
    <xf numFmtId="0" fontId="2" fillId="2" borderId="20" xfId="0" applyFont="1" applyFill="1" applyBorder="1" applyAlignment="1">
      <alignment horizontal="center" vertical="center" wrapText="1" readingOrder="2"/>
    </xf>
    <xf numFmtId="0" fontId="0" fillId="0" borderId="0" xfId="0" applyAlignment="1" applyProtection="1">
      <alignment horizontal="righ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center" vertical="center"/>
      <protection locked="0"/>
    </xf>
    <xf numFmtId="0" fontId="12" fillId="3" borderId="21" xfId="1" applyFont="1" applyBorder="1" applyAlignment="1" applyProtection="1">
      <alignment horizontal="center" vertical="center" wrapText="1" readingOrder="2"/>
      <protection locked="0"/>
    </xf>
    <xf numFmtId="0" fontId="13" fillId="0" borderId="22" xfId="0" applyFont="1" applyFill="1" applyBorder="1" applyAlignment="1" applyProtection="1">
      <alignment horizontal="center" vertical="center" wrapText="1" readingOrder="2"/>
      <protection hidden="1"/>
    </xf>
    <xf numFmtId="0" fontId="13" fillId="4" borderId="22" xfId="0" applyFont="1" applyFill="1" applyBorder="1" applyAlignment="1" applyProtection="1">
      <alignment horizontal="center" vertical="center" wrapText="1" readingOrder="2"/>
      <protection hidden="1"/>
    </xf>
    <xf numFmtId="0" fontId="11" fillId="4" borderId="22" xfId="0" applyFont="1" applyFill="1" applyBorder="1" applyAlignment="1" applyProtection="1">
      <alignment horizontal="center" vertical="center" wrapText="1" readingOrder="2"/>
    </xf>
    <xf numFmtId="0" fontId="14" fillId="0" borderId="22" xfId="0" applyFont="1" applyFill="1" applyBorder="1" applyAlignment="1" applyProtection="1">
      <alignment horizontal="center" vertical="center" wrapText="1" readingOrder="2"/>
      <protection hidden="1"/>
    </xf>
    <xf numFmtId="0" fontId="12" fillId="3" borderId="23" xfId="1" applyFont="1" applyBorder="1" applyAlignment="1" applyProtection="1">
      <alignment horizontal="center" vertical="center" wrapText="1" readingOrder="2"/>
      <protection locked="0"/>
    </xf>
    <xf numFmtId="0" fontId="15" fillId="4" borderId="24" xfId="0" applyFont="1" applyFill="1" applyBorder="1" applyAlignment="1" applyProtection="1">
      <alignment horizontal="center" vertical="center" wrapText="1" readingOrder="2"/>
      <protection locked="0"/>
    </xf>
    <xf numFmtId="0" fontId="15" fillId="4" borderId="25" xfId="0" applyFont="1" applyFill="1" applyBorder="1" applyAlignment="1" applyProtection="1">
      <alignment horizontal="center" vertical="center" wrapText="1" readingOrder="2"/>
      <protection locked="0"/>
    </xf>
    <xf numFmtId="0" fontId="12" fillId="3" borderId="26" xfId="1" applyFont="1" applyBorder="1" applyAlignment="1" applyProtection="1">
      <alignment horizontal="center" vertical="center" wrapText="1" readingOrder="2"/>
      <protection locked="0"/>
    </xf>
    <xf numFmtId="0" fontId="11" fillId="0" borderId="27" xfId="0" applyFont="1" applyFill="1" applyBorder="1" applyAlignment="1" applyProtection="1">
      <alignment horizontal="center" vertical="center" wrapText="1" readingOrder="2"/>
      <protection locked="0"/>
    </xf>
    <xf numFmtId="0" fontId="13" fillId="0" borderId="28" xfId="0" applyFont="1" applyFill="1" applyBorder="1" applyAlignment="1" applyProtection="1">
      <alignment horizontal="center" vertical="center" wrapText="1" readingOrder="2"/>
      <protection hidden="1"/>
    </xf>
  </cellXfs>
  <cellStyles count="3">
    <cellStyle name="Normal" xfId="0" builtinId="0"/>
    <cellStyle name="Satisfaisant" xfId="1" builtinId="26"/>
    <cellStyle name="Titre 4" xfId="2" builtinId="19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ultan bold"/>
        <charset val="17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2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ultan bold"/>
        <charset val="17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ultan bold"/>
        <charset val="17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ultan bold"/>
        <charset val="17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6100"/>
        <name val="Calibri"/>
        <family val="2"/>
        <scheme val="minor"/>
      </font>
      <alignment horizontal="center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Sultan bold"/>
        <charset val="178"/>
        <scheme val="none"/>
      </font>
      <alignment horizontal="center" vertical="center" textRotation="0" wrapText="1" indent="0" justifyLastLine="0" shrinkToFit="0" readingOrder="2"/>
      <border diagonalUp="0" diagonalDown="0">
        <left style="thick">
          <color indexed="64"/>
        </left>
        <right/>
        <top/>
        <bottom style="thick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Sultan bold"/>
        <charset val="178"/>
        <scheme val="none"/>
      </font>
      <alignment horizontal="center" vertical="center" textRotation="0" wrapText="1" indent="0" justifyLastLine="0" shrinkToFit="0" readingOrder="2"/>
      <border diagonalUp="0" diagonalDown="0">
        <left style="thick">
          <color indexed="64"/>
        </left>
        <right/>
        <top/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ultan bold"/>
        <charset val="178"/>
        <scheme val="none"/>
      </font>
      <alignment horizontal="center" vertical="center" textRotation="0" wrapText="1" indent="0" justifyLastLine="0" shrinkToFit="0" readingOrder="2"/>
      <border diagonalUp="0" diagonalDown="0">
        <left/>
        <right style="thick">
          <color indexed="64"/>
        </right>
        <top/>
        <bottom style="thick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Sultan bold"/>
        <charset val="178"/>
        <scheme val="none"/>
      </font>
      <alignment horizontal="center" vertical="center" textRotation="0" wrapText="1" indent="0" justifyLastLine="0" shrinkToFit="0" readingOrder="2"/>
    </dxf>
    <dxf>
      <border outline="0"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ultan bold"/>
        <charset val="178"/>
        <scheme val="none"/>
      </font>
      <fill>
        <patternFill patternType="solid">
          <fgColor indexed="64"/>
          <bgColor rgb="FFDAEEF3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abic Typesetting"/>
        <family val="2"/>
        <scheme val="none"/>
      </font>
      <alignment horizontal="center" vertical="bottom" textRotation="0" wrapText="0" indent="0" justifyLastLine="0" shrinkToFit="0" readingOrder="2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abic Typesetting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2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abic Typesetting"/>
        <family val="2"/>
        <scheme val="none"/>
      </font>
      <alignment horizontal="center" vertical="bottom" textRotation="0" wrapText="0" indent="0" justifyLastLine="0" shrinkToFit="0" readingOrder="2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abic Typesetting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2"/>
      <border diagonalUp="0" diagonalDown="0" outline="0">
        <left/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ultan bold"/>
        <charset val="178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2"/>
      <border diagonalUp="0" diagonalDown="0" outline="0">
        <left/>
        <right style="thick">
          <color indexed="64"/>
        </right>
        <top/>
        <bottom style="thick">
          <color indexed="64"/>
        </bottom>
      </border>
    </dxf>
    <dxf>
      <border outline="0">
        <left style="thick">
          <color indexed="64"/>
        </left>
        <top style="thick">
          <color indexed="64"/>
        </top>
        <bottom style="thick">
          <color indexed="64"/>
        </bottom>
      </border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ultan bold"/>
        <charset val="178"/>
        <scheme val="none"/>
      </font>
      <fill>
        <patternFill patternType="solid">
          <fgColor indexed="64"/>
          <bgColor rgb="FFDAEEF3"/>
        </patternFill>
      </fill>
      <alignment horizontal="center" vertical="center" textRotation="0" wrapText="1" indent="0" justifyLastLine="0" shrinkToFit="0" readingOrder="2"/>
    </dxf>
  </dxfs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A4C00E-36F2-401F-8E78-CA06C50A7F9E}" name="Tableau3" displayName="Tableau3" ref="B4:F35" totalsRowShown="0" headerRowDxfId="0" dataDxfId="1" headerRowBorderDxfId="8" tableBorderDxfId="9" totalsRowBorderDxfId="7">
  <autoFilter ref="B4:F35" xr:uid="{64A4C00E-36F2-401F-8E78-CA06C50A7F9E}"/>
  <sortState xmlns:xlrd2="http://schemas.microsoft.com/office/spreadsheetml/2017/richdata2" ref="B5:F35">
    <sortCondition descending="1" ref="B4:B35"/>
  </sortState>
  <tableColumns count="5">
    <tableColumn id="1" xr3:uid="{9F56E805-D0DD-4569-9726-382580FE2E57}" name="الإقليم" dataDxfId="6" dataCellStyle="Satisfaisant"/>
    <tableColumn id="2" xr3:uid="{1C22AF96-398F-4A05-A465-10BCF3B75F1A}" name="لفائدة الحرس الوطني" dataDxfId="5"/>
    <tableColumn id="3" xr3:uid="{C83D0918-5F88-4C29-9A15-BB3E5501C085}" name="لفائدة الأمن الوطني" dataDxfId="4"/>
    <tableColumn id="4" xr3:uid="{DDB76D38-56F9-4E45-8FF0-7205C1BA21D4}" name="لفائدة العدالة" dataDxfId="3"/>
    <tableColumn id="5" xr3:uid="{50525942-D586-4094-AB6D-DB3797947619}" name="المجموع" dataDxfId="2">
      <calculatedColumnFormula>E5+D5+C5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9" displayName="Tableau9" ref="A1:E32" totalsRowShown="0" headerRowDxfId="24" headerRowBorderDxfId="23" tableBorderDxfId="22">
  <autoFilter ref="A1:E32" xr:uid="{00000000-0009-0000-0100-000002000000}"/>
  <sortState xmlns:xlrd2="http://schemas.microsoft.com/office/spreadsheetml/2017/richdata2" ref="A2:D32">
    <sortCondition descending="1" ref="A1:A32"/>
  </sortState>
  <tableColumns count="5">
    <tableColumn id="1" xr3:uid="{00000000-0010-0000-0000-000001000000}" name="الأقاليم" dataDxfId="21"/>
    <tableColumn id="2" xr3:uid="{00000000-0010-0000-0000-000002000000}" name="عدد الأشخاص المفتش عنهم والملقي عليهم القبض" dataDxfId="20" dataCellStyle="Titre 4">
      <calculatedColumnFormula>النشاط!F5</calculatedColumnFormula>
    </tableColumn>
    <tableColumn id="5" xr3:uid="{976667CF-B30F-4C2D-A347-E7C04137C606}" name="عدد المفتش عنهم في حالة أحتفاظ" dataDxfId="19" dataCellStyle="Titre 4"/>
    <tableColumn id="3" xr3:uid="{00000000-0010-0000-0000-000003000000}" name="عدد العناصر الخطيرة المحتفظ بهم" dataDxfId="18" dataCellStyle="Titre 4"/>
    <tableColumn id="4" xr3:uid="{00000000-0010-0000-0000-000004000000}" name="وسائل محل تفتيش " dataDxfId="17" dataCellStyle="Titre 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au7" displayName="Tableau7" ref="A1:C32" totalsRowShown="0" headerRowDxfId="16" dataDxfId="14" headerRowBorderDxfId="15" tableBorderDxfId="13">
  <autoFilter ref="A1:C32" xr:uid="{00000000-0009-0000-0100-000001000000}"/>
  <sortState xmlns:xlrd2="http://schemas.microsoft.com/office/spreadsheetml/2017/richdata2" ref="A2:C32">
    <sortCondition descending="1" ref="A1:A32"/>
  </sortState>
  <tableColumns count="3">
    <tableColumn id="1" xr3:uid="{00000000-0010-0000-0100-000001000000}" name="الأقاليم" dataDxfId="12"/>
    <tableColumn id="2" xr3:uid="{00000000-0010-0000-0100-000002000000}" name="عدد المحتفظ بهم من أجل الاشتباه أو الانتماء إلى تنظيم إرهابي" dataDxfId="11"/>
    <tableColumn id="3" xr3:uid="{00000000-0010-0000-0100-000003000000}" name="عدد المحتفظ بهم المفتش عنهم من أجل الاشتباه أو الانتماء إلى تنظيم إرهابي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7"/>
  <sheetViews>
    <sheetView rightToLeft="1" topLeftCell="B1" zoomScaleNormal="100" workbookViewId="0">
      <selection activeCell="B41" sqref="B41"/>
    </sheetView>
  </sheetViews>
  <sheetFormatPr baseColWidth="10" defaultColWidth="11.42578125" defaultRowHeight="15"/>
  <cols>
    <col min="1" max="1" width="7.140625" style="4" customWidth="1"/>
    <col min="2" max="2" width="30.7109375" style="4" customWidth="1"/>
    <col min="3" max="3" width="21.5703125" style="4" customWidth="1"/>
    <col min="4" max="4" width="19.85546875" style="4" customWidth="1"/>
    <col min="5" max="5" width="16.5703125" style="4" customWidth="1"/>
    <col min="6" max="6" width="24.5703125" style="4" customWidth="1"/>
    <col min="7" max="8" width="11.42578125" style="4"/>
    <col min="9" max="9" width="35.5703125" style="4" customWidth="1"/>
    <col min="10" max="10" width="17.7109375" style="4" customWidth="1"/>
    <col min="11" max="11" width="17.85546875" style="4" customWidth="1"/>
    <col min="12" max="12" width="22.5703125" style="4" customWidth="1"/>
    <col min="13" max="16384" width="11.42578125" style="4"/>
  </cols>
  <sheetData>
    <row r="1" spans="1:12" ht="51.75" customHeight="1">
      <c r="B1" s="35" t="s">
        <v>48</v>
      </c>
      <c r="C1" s="36"/>
      <c r="D1" s="36"/>
      <c r="E1" s="36"/>
      <c r="F1" s="36"/>
      <c r="I1" s="35" t="s">
        <v>45</v>
      </c>
      <c r="J1" s="36"/>
      <c r="K1" s="36"/>
      <c r="L1" s="36"/>
    </row>
    <row r="2" spans="1:12" ht="14.25" customHeight="1">
      <c r="B2" s="25" t="s">
        <v>49</v>
      </c>
      <c r="I2" s="37" t="s">
        <v>47</v>
      </c>
      <c r="J2" s="37"/>
      <c r="K2" s="37"/>
      <c r="L2" s="37"/>
    </row>
    <row r="3" spans="1:12" ht="34.9" customHeight="1" thickBot="1">
      <c r="B3" s="39" t="s">
        <v>46</v>
      </c>
      <c r="C3" s="39"/>
      <c r="D3" s="39"/>
      <c r="E3" s="39"/>
      <c r="F3" s="39"/>
      <c r="I3" s="38"/>
      <c r="J3" s="38"/>
      <c r="K3" s="38"/>
      <c r="L3" s="38"/>
    </row>
    <row r="4" spans="1:12" ht="39.75" customHeight="1">
      <c r="B4" s="45" t="s">
        <v>37</v>
      </c>
      <c r="C4" s="46" t="s">
        <v>38</v>
      </c>
      <c r="D4" s="46" t="s">
        <v>39</v>
      </c>
      <c r="E4" s="46" t="s">
        <v>40</v>
      </c>
      <c r="F4" s="47" t="s">
        <v>41</v>
      </c>
      <c r="G4" s="5"/>
      <c r="H4" s="5"/>
      <c r="I4" s="10" t="s">
        <v>37</v>
      </c>
      <c r="J4" s="11" t="s">
        <v>42</v>
      </c>
      <c r="K4" s="11" t="s">
        <v>43</v>
      </c>
      <c r="L4" s="12" t="s">
        <v>44</v>
      </c>
    </row>
    <row r="5" spans="1:12" ht="18.75">
      <c r="B5" s="40" t="s">
        <v>30</v>
      </c>
      <c r="C5" s="8">
        <v>4</v>
      </c>
      <c r="D5" s="8">
        <v>0</v>
      </c>
      <c r="E5" s="8">
        <v>3</v>
      </c>
      <c r="F5" s="41">
        <f>E5+D5+C5</f>
        <v>7</v>
      </c>
      <c r="G5" s="5"/>
      <c r="H5" s="5"/>
      <c r="I5" s="7" t="s">
        <v>19</v>
      </c>
      <c r="J5" s="8">
        <v>0</v>
      </c>
      <c r="K5" s="8">
        <v>0</v>
      </c>
      <c r="L5" s="8">
        <v>0</v>
      </c>
    </row>
    <row r="6" spans="1:12" ht="18.75">
      <c r="A6" s="6"/>
      <c r="B6" s="40" t="s">
        <v>29</v>
      </c>
      <c r="C6" s="8">
        <v>0</v>
      </c>
      <c r="D6" s="8">
        <v>0</v>
      </c>
      <c r="E6" s="8">
        <v>3</v>
      </c>
      <c r="F6" s="41">
        <f>E6+D6+C6</f>
        <v>3</v>
      </c>
      <c r="G6" s="5"/>
      <c r="H6" s="5"/>
      <c r="I6" s="7" t="s">
        <v>3</v>
      </c>
      <c r="J6" s="8">
        <v>6</v>
      </c>
      <c r="K6" s="8">
        <v>6</v>
      </c>
      <c r="L6" s="8">
        <v>0</v>
      </c>
    </row>
    <row r="7" spans="1:12" ht="18.75">
      <c r="B7" s="40" t="s">
        <v>28</v>
      </c>
      <c r="C7" s="8">
        <v>1</v>
      </c>
      <c r="D7" s="8">
        <v>0</v>
      </c>
      <c r="E7" s="8">
        <v>45</v>
      </c>
      <c r="F7" s="41">
        <f>E7+D7+C7</f>
        <v>46</v>
      </c>
      <c r="G7" s="5"/>
      <c r="H7" s="5"/>
      <c r="I7" s="7" t="s">
        <v>15</v>
      </c>
      <c r="J7" s="8">
        <v>0</v>
      </c>
      <c r="K7" s="8">
        <v>0</v>
      </c>
      <c r="L7" s="8">
        <v>0</v>
      </c>
    </row>
    <row r="8" spans="1:12" ht="18.75">
      <c r="B8" s="40" t="s">
        <v>27</v>
      </c>
      <c r="C8" s="8">
        <v>2</v>
      </c>
      <c r="D8" s="8">
        <v>1</v>
      </c>
      <c r="E8" s="8">
        <v>4</v>
      </c>
      <c r="F8" s="41">
        <f>E8+D8+C8</f>
        <v>7</v>
      </c>
      <c r="G8" s="5"/>
      <c r="H8" s="5"/>
      <c r="I8" s="7" t="s">
        <v>16</v>
      </c>
      <c r="J8" s="8">
        <v>0</v>
      </c>
      <c r="K8" s="8">
        <v>54</v>
      </c>
      <c r="L8" s="8">
        <v>0</v>
      </c>
    </row>
    <row r="9" spans="1:12" ht="18.75">
      <c r="B9" s="40" t="s">
        <v>26</v>
      </c>
      <c r="C9" s="8">
        <v>0</v>
      </c>
      <c r="D9" s="8">
        <v>0</v>
      </c>
      <c r="E9" s="8">
        <v>4</v>
      </c>
      <c r="F9" s="41">
        <f>E9+D9+C9</f>
        <v>4</v>
      </c>
      <c r="G9" s="5"/>
      <c r="H9" s="5"/>
      <c r="I9" s="7" t="s">
        <v>30</v>
      </c>
      <c r="J9" s="8">
        <v>0</v>
      </c>
      <c r="K9" s="8">
        <v>0</v>
      </c>
      <c r="L9" s="8">
        <v>0</v>
      </c>
    </row>
    <row r="10" spans="1:12" ht="18.75">
      <c r="B10" s="40" t="s">
        <v>25</v>
      </c>
      <c r="C10" s="8">
        <v>3</v>
      </c>
      <c r="D10" s="8">
        <v>0</v>
      </c>
      <c r="E10" s="8">
        <v>3</v>
      </c>
      <c r="F10" s="41">
        <f>E10+D10+C10</f>
        <v>6</v>
      </c>
      <c r="G10" s="5"/>
      <c r="H10" s="5"/>
      <c r="I10" s="7" t="s">
        <v>21</v>
      </c>
      <c r="J10" s="8">
        <v>4</v>
      </c>
      <c r="K10" s="8">
        <v>0</v>
      </c>
      <c r="L10" s="8">
        <v>0</v>
      </c>
    </row>
    <row r="11" spans="1:12" ht="18.75">
      <c r="B11" s="40" t="s">
        <v>24</v>
      </c>
      <c r="C11" s="8">
        <v>5</v>
      </c>
      <c r="D11" s="8">
        <v>0</v>
      </c>
      <c r="E11" s="8">
        <v>8</v>
      </c>
      <c r="F11" s="41">
        <f>E11+D11+C11</f>
        <v>13</v>
      </c>
      <c r="G11" s="5"/>
      <c r="H11" s="5"/>
      <c r="I11" s="7" t="s">
        <v>23</v>
      </c>
      <c r="J11" s="8">
        <v>0</v>
      </c>
      <c r="K11" s="8">
        <v>2</v>
      </c>
      <c r="L11" s="8">
        <v>0</v>
      </c>
    </row>
    <row r="12" spans="1:12" ht="18.75">
      <c r="B12" s="40" t="s">
        <v>23</v>
      </c>
      <c r="C12" s="8">
        <v>1</v>
      </c>
      <c r="D12" s="8">
        <v>2</v>
      </c>
      <c r="E12" s="8">
        <v>14</v>
      </c>
      <c r="F12" s="41">
        <f>E12+D12+C12</f>
        <v>17</v>
      </c>
      <c r="G12" s="5"/>
      <c r="H12" s="5"/>
      <c r="I12" s="7" t="s">
        <v>13</v>
      </c>
      <c r="J12" s="8">
        <v>0</v>
      </c>
      <c r="K12" s="8">
        <v>0</v>
      </c>
      <c r="L12" s="8">
        <v>0</v>
      </c>
    </row>
    <row r="13" spans="1:12" ht="18.75">
      <c r="B13" s="40" t="s">
        <v>22</v>
      </c>
      <c r="C13" s="8">
        <v>2</v>
      </c>
      <c r="D13" s="8">
        <v>2</v>
      </c>
      <c r="E13" s="8">
        <v>8</v>
      </c>
      <c r="F13" s="41">
        <f>E13+D13+C13</f>
        <v>12</v>
      </c>
      <c r="G13" s="5"/>
      <c r="H13" s="5"/>
      <c r="I13" s="7" t="s">
        <v>12</v>
      </c>
      <c r="J13" s="8">
        <v>75</v>
      </c>
      <c r="K13" s="8">
        <v>3</v>
      </c>
      <c r="L13" s="8">
        <v>0</v>
      </c>
    </row>
    <row r="14" spans="1:12" ht="18.75" customHeight="1">
      <c r="B14" s="40" t="s">
        <v>21</v>
      </c>
      <c r="C14" s="8">
        <v>3</v>
      </c>
      <c r="D14" s="8">
        <v>2</v>
      </c>
      <c r="E14" s="8">
        <v>13</v>
      </c>
      <c r="F14" s="41">
        <f>E14+D14+C14</f>
        <v>18</v>
      </c>
      <c r="G14" s="5"/>
      <c r="H14" s="5"/>
      <c r="I14" s="7" t="s">
        <v>10</v>
      </c>
      <c r="J14" s="8">
        <v>0</v>
      </c>
      <c r="K14" s="8">
        <v>0</v>
      </c>
      <c r="L14" s="8">
        <v>0</v>
      </c>
    </row>
    <row r="15" spans="1:12" ht="18.75">
      <c r="B15" s="40" t="s">
        <v>20</v>
      </c>
      <c r="C15" s="8">
        <v>1</v>
      </c>
      <c r="D15" s="8">
        <v>1</v>
      </c>
      <c r="E15" s="8">
        <v>1</v>
      </c>
      <c r="F15" s="41">
        <f>E15+D15+C15</f>
        <v>3</v>
      </c>
      <c r="G15" s="5"/>
      <c r="H15" s="5"/>
      <c r="I15" s="7" t="s">
        <v>25</v>
      </c>
      <c r="J15" s="8">
        <v>0</v>
      </c>
      <c r="K15" s="8">
        <v>0</v>
      </c>
      <c r="L15" s="8">
        <v>0</v>
      </c>
    </row>
    <row r="16" spans="1:12" ht="18.75">
      <c r="B16" s="40" t="s">
        <v>19</v>
      </c>
      <c r="C16" s="8">
        <v>3</v>
      </c>
      <c r="D16" s="8">
        <v>0</v>
      </c>
      <c r="E16" s="8">
        <v>5</v>
      </c>
      <c r="F16" s="41">
        <f>E16+D16+C16</f>
        <v>8</v>
      </c>
      <c r="G16" s="5"/>
      <c r="H16" s="5"/>
      <c r="I16" s="7" t="s">
        <v>26</v>
      </c>
      <c r="J16" s="8">
        <v>0</v>
      </c>
      <c r="K16" s="8">
        <v>0</v>
      </c>
      <c r="L16" s="8">
        <v>0</v>
      </c>
    </row>
    <row r="17" spans="2:12" ht="18.75">
      <c r="B17" s="40" t="s">
        <v>18</v>
      </c>
      <c r="C17" s="8">
        <v>3</v>
      </c>
      <c r="D17" s="8">
        <v>0</v>
      </c>
      <c r="E17" s="8">
        <v>1</v>
      </c>
      <c r="F17" s="42">
        <f>E17+D17+C17</f>
        <v>4</v>
      </c>
      <c r="G17" s="5"/>
      <c r="H17" s="5"/>
      <c r="I17" s="7" t="s">
        <v>29</v>
      </c>
      <c r="J17" s="8">
        <v>0</v>
      </c>
      <c r="K17" s="8">
        <v>0</v>
      </c>
      <c r="L17" s="8">
        <v>0</v>
      </c>
    </row>
    <row r="18" spans="2:12" ht="18.75">
      <c r="B18" s="40" t="s">
        <v>17</v>
      </c>
      <c r="C18" s="8">
        <v>0</v>
      </c>
      <c r="D18" s="8">
        <v>1</v>
      </c>
      <c r="E18" s="8">
        <v>4</v>
      </c>
      <c r="F18" s="41">
        <f>E18+D18+C18</f>
        <v>5</v>
      </c>
      <c r="G18" s="5"/>
      <c r="H18" s="5"/>
      <c r="I18" s="7" t="s">
        <v>17</v>
      </c>
      <c r="J18" s="8">
        <v>0</v>
      </c>
      <c r="K18" s="8">
        <v>0</v>
      </c>
      <c r="L18" s="8">
        <v>0</v>
      </c>
    </row>
    <row r="19" spans="2:12" ht="18.75">
      <c r="B19" s="40" t="s">
        <v>16</v>
      </c>
      <c r="C19" s="8">
        <v>0</v>
      </c>
      <c r="D19" s="8">
        <v>0</v>
      </c>
      <c r="E19" s="8">
        <v>5</v>
      </c>
      <c r="F19" s="41">
        <f>E19+D19+C19</f>
        <v>5</v>
      </c>
      <c r="G19" s="5"/>
      <c r="H19" s="5"/>
      <c r="I19" s="7" t="s">
        <v>24</v>
      </c>
      <c r="J19" s="8">
        <v>7</v>
      </c>
      <c r="K19" s="8">
        <v>3</v>
      </c>
      <c r="L19" s="8">
        <v>0</v>
      </c>
    </row>
    <row r="20" spans="2:12" ht="18.75">
      <c r="B20" s="40" t="s">
        <v>15</v>
      </c>
      <c r="C20" s="8">
        <v>13</v>
      </c>
      <c r="D20" s="8">
        <v>2</v>
      </c>
      <c r="E20" s="8">
        <v>14</v>
      </c>
      <c r="F20" s="41">
        <f>E20+D20+C20</f>
        <v>29</v>
      </c>
      <c r="G20" s="5"/>
      <c r="H20" s="5"/>
      <c r="I20" s="7" t="s">
        <v>28</v>
      </c>
      <c r="J20" s="8">
        <v>0</v>
      </c>
      <c r="K20" s="8">
        <v>0</v>
      </c>
      <c r="L20" s="8">
        <v>0</v>
      </c>
    </row>
    <row r="21" spans="2:12" ht="18.75">
      <c r="B21" s="40" t="s">
        <v>14</v>
      </c>
      <c r="C21" s="8">
        <v>0</v>
      </c>
      <c r="D21" s="8">
        <v>1</v>
      </c>
      <c r="E21" s="8">
        <v>4</v>
      </c>
      <c r="F21" s="41">
        <f>E21+D21+C21</f>
        <v>5</v>
      </c>
      <c r="G21" s="5"/>
      <c r="H21" s="5"/>
      <c r="I21" s="7" t="s">
        <v>9</v>
      </c>
      <c r="J21" s="8">
        <v>0</v>
      </c>
      <c r="K21" s="8">
        <v>0</v>
      </c>
      <c r="L21" s="8">
        <v>0</v>
      </c>
    </row>
    <row r="22" spans="2:12" ht="18.75">
      <c r="B22" s="40" t="s">
        <v>13</v>
      </c>
      <c r="C22" s="8">
        <v>0</v>
      </c>
      <c r="D22" s="8">
        <v>0</v>
      </c>
      <c r="E22" s="8">
        <v>1</v>
      </c>
      <c r="F22" s="41">
        <f>E22+D22+C22</f>
        <v>1</v>
      </c>
      <c r="G22" s="5"/>
      <c r="H22" s="5"/>
      <c r="I22" s="7" t="s">
        <v>11</v>
      </c>
      <c r="J22" s="8">
        <v>0</v>
      </c>
      <c r="K22" s="8">
        <v>0</v>
      </c>
      <c r="L22" s="8">
        <v>0</v>
      </c>
    </row>
    <row r="23" spans="2:12" ht="18.75">
      <c r="B23" s="40" t="s">
        <v>12</v>
      </c>
      <c r="C23" s="8">
        <v>2</v>
      </c>
      <c r="D23" s="8">
        <v>1</v>
      </c>
      <c r="E23" s="8">
        <v>9</v>
      </c>
      <c r="F23" s="41">
        <f>E23+D23+C23</f>
        <v>12</v>
      </c>
      <c r="G23" s="5"/>
      <c r="H23" s="5"/>
      <c r="I23" s="7" t="s">
        <v>20</v>
      </c>
      <c r="J23" s="8">
        <v>0</v>
      </c>
      <c r="K23" s="8">
        <v>0</v>
      </c>
      <c r="L23" s="8">
        <v>0</v>
      </c>
    </row>
    <row r="24" spans="2:12" ht="18.75">
      <c r="B24" s="40" t="s">
        <v>11</v>
      </c>
      <c r="C24" s="8">
        <v>0</v>
      </c>
      <c r="D24" s="8">
        <v>0</v>
      </c>
      <c r="E24" s="8">
        <v>0</v>
      </c>
      <c r="F24" s="41">
        <f>E24+D24+C24</f>
        <v>0</v>
      </c>
      <c r="G24" s="5"/>
      <c r="H24" s="5"/>
      <c r="I24" s="7" t="s">
        <v>14</v>
      </c>
      <c r="J24" s="8">
        <v>0</v>
      </c>
      <c r="K24" s="8">
        <v>0</v>
      </c>
      <c r="L24" s="8">
        <v>0</v>
      </c>
    </row>
    <row r="25" spans="2:12" ht="18.75">
      <c r="B25" s="40" t="s">
        <v>10</v>
      </c>
      <c r="C25" s="8">
        <v>7</v>
      </c>
      <c r="D25" s="8">
        <v>3</v>
      </c>
      <c r="E25" s="8">
        <v>12</v>
      </c>
      <c r="F25" s="41">
        <f>E25+D25+C25</f>
        <v>22</v>
      </c>
      <c r="G25" s="5"/>
      <c r="H25" s="5"/>
      <c r="I25" s="7" t="s">
        <v>22</v>
      </c>
      <c r="J25" s="8">
        <v>0</v>
      </c>
      <c r="K25" s="8">
        <v>0</v>
      </c>
      <c r="L25" s="8">
        <v>0</v>
      </c>
    </row>
    <row r="26" spans="2:12" ht="18.75">
      <c r="B26" s="40" t="s">
        <v>9</v>
      </c>
      <c r="C26" s="8">
        <v>2</v>
      </c>
      <c r="D26" s="8">
        <v>1</v>
      </c>
      <c r="E26" s="8">
        <v>8</v>
      </c>
      <c r="F26" s="41">
        <f>E26+D26+C26</f>
        <v>11</v>
      </c>
      <c r="G26" s="5"/>
      <c r="H26" s="5"/>
      <c r="I26" s="7" t="s">
        <v>27</v>
      </c>
      <c r="J26" s="8">
        <v>0</v>
      </c>
      <c r="K26" s="8">
        <v>0</v>
      </c>
      <c r="L26" s="8">
        <v>0</v>
      </c>
    </row>
    <row r="27" spans="2:12" ht="18.75">
      <c r="B27" s="40" t="s">
        <v>8</v>
      </c>
      <c r="C27" s="8">
        <v>0</v>
      </c>
      <c r="D27" s="8">
        <v>0</v>
      </c>
      <c r="E27" s="8">
        <v>0</v>
      </c>
      <c r="F27" s="43">
        <f>E27+D27+C27</f>
        <v>0</v>
      </c>
      <c r="G27" s="5"/>
      <c r="H27" s="5"/>
      <c r="I27" s="7" t="s">
        <v>18</v>
      </c>
      <c r="J27" s="8">
        <v>0</v>
      </c>
      <c r="K27" s="8">
        <v>6</v>
      </c>
      <c r="L27" s="8">
        <v>0</v>
      </c>
    </row>
    <row r="28" spans="2:12" ht="18.75">
      <c r="B28" s="40" t="s">
        <v>7</v>
      </c>
      <c r="C28" s="8">
        <v>0</v>
      </c>
      <c r="D28" s="8">
        <v>0</v>
      </c>
      <c r="E28" s="8">
        <v>0</v>
      </c>
      <c r="F28" s="41">
        <f>E28+D28+C28</f>
        <v>0</v>
      </c>
      <c r="G28" s="5"/>
      <c r="H28" s="5"/>
      <c r="I28" s="7" t="s">
        <v>6</v>
      </c>
      <c r="J28" s="8">
        <v>0</v>
      </c>
      <c r="K28" s="8">
        <v>0</v>
      </c>
      <c r="L28" s="8">
        <v>0</v>
      </c>
    </row>
    <row r="29" spans="2:12" ht="18.75">
      <c r="B29" s="40" t="s">
        <v>6</v>
      </c>
      <c r="C29" s="8">
        <v>0</v>
      </c>
      <c r="D29" s="8">
        <v>0</v>
      </c>
      <c r="E29" s="8">
        <v>0</v>
      </c>
      <c r="F29" s="42">
        <f>E29+D29+C29</f>
        <v>0</v>
      </c>
      <c r="G29" s="5"/>
      <c r="H29" s="5"/>
      <c r="I29" s="7" t="s">
        <v>5</v>
      </c>
      <c r="J29" s="8">
        <v>0</v>
      </c>
      <c r="K29" s="8">
        <v>0</v>
      </c>
      <c r="L29" s="8">
        <v>0</v>
      </c>
    </row>
    <row r="30" spans="2:12" ht="18.75">
      <c r="B30" s="40" t="s">
        <v>5</v>
      </c>
      <c r="C30" s="8">
        <v>0</v>
      </c>
      <c r="D30" s="8">
        <v>0</v>
      </c>
      <c r="E30" s="8">
        <v>0</v>
      </c>
      <c r="F30" s="41">
        <f>E30+D30+C30</f>
        <v>0</v>
      </c>
      <c r="G30" s="5"/>
      <c r="H30" s="5"/>
      <c r="I30" s="7" t="s">
        <v>7</v>
      </c>
      <c r="J30" s="8">
        <v>0</v>
      </c>
      <c r="K30" s="8">
        <v>0</v>
      </c>
      <c r="L30" s="8">
        <v>0</v>
      </c>
    </row>
    <row r="31" spans="2:12" ht="18.75">
      <c r="B31" s="40" t="s">
        <v>4</v>
      </c>
      <c r="C31" s="8">
        <v>0</v>
      </c>
      <c r="D31" s="8">
        <v>0</v>
      </c>
      <c r="E31" s="8">
        <v>0</v>
      </c>
      <c r="F31" s="41">
        <f>E31+D31+C31</f>
        <v>0</v>
      </c>
      <c r="G31" s="5"/>
      <c r="H31" s="5"/>
      <c r="I31" s="7" t="s">
        <v>4</v>
      </c>
      <c r="J31" s="8">
        <v>0</v>
      </c>
      <c r="K31" s="8">
        <v>0</v>
      </c>
      <c r="L31" s="8">
        <v>0</v>
      </c>
    </row>
    <row r="32" spans="2:12" ht="19.5" thickBot="1">
      <c r="B32" s="40" t="s">
        <v>3</v>
      </c>
      <c r="C32" s="8">
        <v>11</v>
      </c>
      <c r="D32" s="8">
        <v>1</v>
      </c>
      <c r="E32" s="8">
        <v>11</v>
      </c>
      <c r="F32" s="41">
        <f>E32+D32+C32</f>
        <v>23</v>
      </c>
      <c r="G32" s="5"/>
      <c r="H32" s="5"/>
      <c r="I32" s="13" t="s">
        <v>41</v>
      </c>
      <c r="J32" s="14">
        <f>SUM(J5:J31)</f>
        <v>92</v>
      </c>
      <c r="K32" s="14">
        <f>SUM(K5:K31)</f>
        <v>74</v>
      </c>
      <c r="L32" s="15">
        <f>SUM(L5:L31)</f>
        <v>0</v>
      </c>
    </row>
    <row r="33" spans="2:12" ht="29.25" customHeight="1">
      <c r="B33" s="40" t="s">
        <v>0</v>
      </c>
      <c r="C33" s="8">
        <v>0</v>
      </c>
      <c r="D33" s="8">
        <v>0</v>
      </c>
      <c r="E33" s="8">
        <v>0</v>
      </c>
      <c r="F33" s="41">
        <f>E33+D33+C33</f>
        <v>0</v>
      </c>
      <c r="G33" s="5"/>
      <c r="H33" s="5"/>
      <c r="I33" s="5"/>
      <c r="J33" s="5"/>
      <c r="K33" s="5"/>
      <c r="L33" s="5"/>
    </row>
    <row r="34" spans="2:12" s="27" customFormat="1" ht="26.25" customHeight="1">
      <c r="B34" s="40" t="s">
        <v>2</v>
      </c>
      <c r="C34" s="8">
        <v>1</v>
      </c>
      <c r="D34" s="8">
        <v>0</v>
      </c>
      <c r="E34" s="8">
        <v>0</v>
      </c>
      <c r="F34" s="44">
        <f>E34+D34+C34</f>
        <v>1</v>
      </c>
      <c r="G34" s="26"/>
      <c r="H34" s="26"/>
      <c r="I34" s="26"/>
      <c r="J34" s="26"/>
      <c r="K34" s="26"/>
      <c r="L34" s="26"/>
    </row>
    <row r="35" spans="2:12" ht="18.75">
      <c r="B35" s="48" t="s">
        <v>1</v>
      </c>
      <c r="C35" s="49">
        <v>0</v>
      </c>
      <c r="D35" s="49">
        <v>0</v>
      </c>
      <c r="E35" s="49">
        <v>0</v>
      </c>
      <c r="F35" s="50">
        <f>E35+D35+C35</f>
        <v>0</v>
      </c>
      <c r="G35" s="5"/>
      <c r="H35" s="5"/>
      <c r="I35" s="5"/>
      <c r="J35" s="5"/>
      <c r="K35" s="5"/>
      <c r="L35" s="5"/>
    </row>
    <row r="36" spans="2:12" ht="24" customHeight="1">
      <c r="B36" s="7" t="s">
        <v>41</v>
      </c>
      <c r="C36" s="9">
        <f>SUM(C5:C35)</f>
        <v>64</v>
      </c>
      <c r="D36" s="9">
        <f>SUM(D5:D35)</f>
        <v>18</v>
      </c>
      <c r="E36" s="9">
        <f>SUM(E5:E35)</f>
        <v>180</v>
      </c>
      <c r="F36" s="9">
        <f>SUM(F5:F35)</f>
        <v>262</v>
      </c>
      <c r="G36" s="5"/>
      <c r="H36" s="5"/>
      <c r="I36" s="5"/>
      <c r="J36" s="5"/>
      <c r="K36" s="5"/>
      <c r="L36" s="5"/>
    </row>
    <row r="37" spans="2:12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</sheetData>
  <sheetProtection formatCells="0" formatColumns="0" formatRows="0" insertColumns="0"/>
  <mergeCells count="4">
    <mergeCell ref="B1:F1"/>
    <mergeCell ref="I1:L1"/>
    <mergeCell ref="I2:L3"/>
    <mergeCell ref="B3:F3"/>
  </mergeCells>
  <pageMargins left="0.25" right="0.25" top="0.75" bottom="0.75" header="0.3" footer="0.3"/>
  <pageSetup paperSize="9" scale="8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4"/>
  <sheetViews>
    <sheetView rightToLeft="1" tabSelected="1" zoomScale="80" zoomScaleNormal="80" workbookViewId="0">
      <selection activeCell="J31" sqref="J31"/>
    </sheetView>
  </sheetViews>
  <sheetFormatPr baseColWidth="10" defaultRowHeight="15"/>
  <cols>
    <col min="1" max="1" width="17" customWidth="1"/>
    <col min="2" max="3" width="37.42578125" customWidth="1"/>
    <col min="4" max="4" width="39.140625" customWidth="1"/>
    <col min="5" max="5" width="29.7109375" customWidth="1"/>
  </cols>
  <sheetData>
    <row r="1" spans="1:5" ht="38.450000000000003" customHeight="1" thickBot="1">
      <c r="A1" s="30" t="s">
        <v>33</v>
      </c>
      <c r="B1" s="31" t="s">
        <v>35</v>
      </c>
      <c r="C1" s="34" t="s">
        <v>50</v>
      </c>
      <c r="D1" s="33" t="s">
        <v>34</v>
      </c>
      <c r="E1" s="32" t="s">
        <v>36</v>
      </c>
    </row>
    <row r="2" spans="1:5" ht="21" thickBot="1">
      <c r="A2" s="17" t="s">
        <v>30</v>
      </c>
      <c r="B2" s="29">
        <f>النشاط!F5</f>
        <v>7</v>
      </c>
      <c r="C2" s="29"/>
      <c r="D2" s="24">
        <v>1</v>
      </c>
      <c r="E2" s="29"/>
    </row>
    <row r="3" spans="1:5" ht="21.75" thickTop="1" thickBot="1">
      <c r="A3" s="17" t="s">
        <v>29</v>
      </c>
      <c r="B3" s="16">
        <f>النشاط!F6</f>
        <v>3</v>
      </c>
      <c r="C3" s="16"/>
      <c r="D3" s="16"/>
      <c r="E3" s="16"/>
    </row>
    <row r="4" spans="1:5" ht="21.75" thickTop="1" thickBot="1">
      <c r="A4" s="17" t="s">
        <v>28</v>
      </c>
      <c r="B4" s="16">
        <f>النشاط!F7</f>
        <v>46</v>
      </c>
      <c r="C4" s="16"/>
      <c r="D4" s="16"/>
      <c r="E4" s="16"/>
    </row>
    <row r="5" spans="1:5" ht="21.75" thickTop="1" thickBot="1">
      <c r="A5" s="17" t="s">
        <v>27</v>
      </c>
      <c r="B5" s="16">
        <f>النشاط!F8</f>
        <v>7</v>
      </c>
      <c r="C5" s="16"/>
      <c r="D5" s="16"/>
      <c r="E5" s="16"/>
    </row>
    <row r="6" spans="1:5" ht="21.75" thickTop="1" thickBot="1">
      <c r="A6" s="17" t="s">
        <v>26</v>
      </c>
      <c r="B6" s="16">
        <f>النشاط!F9</f>
        <v>4</v>
      </c>
      <c r="C6" s="16"/>
      <c r="D6" s="16"/>
      <c r="E6" s="16">
        <v>2</v>
      </c>
    </row>
    <row r="7" spans="1:5" ht="21.75" thickTop="1" thickBot="1">
      <c r="A7" s="17" t="s">
        <v>25</v>
      </c>
      <c r="B7" s="16">
        <f>النشاط!F10</f>
        <v>6</v>
      </c>
      <c r="C7" s="16"/>
      <c r="D7" s="16">
        <v>2</v>
      </c>
      <c r="E7" s="16"/>
    </row>
    <row r="8" spans="1:5" ht="21.75" thickTop="1" thickBot="1">
      <c r="A8" s="17" t="s">
        <v>24</v>
      </c>
      <c r="B8" s="16">
        <f>النشاط!F11</f>
        <v>13</v>
      </c>
      <c r="C8" s="16"/>
      <c r="D8" s="16"/>
      <c r="E8" s="16">
        <v>1</v>
      </c>
    </row>
    <row r="9" spans="1:5" ht="21.75" thickTop="1" thickBot="1">
      <c r="A9" s="17" t="s">
        <v>23</v>
      </c>
      <c r="B9" s="16">
        <f>النشاط!F12</f>
        <v>17</v>
      </c>
      <c r="C9" s="16"/>
      <c r="D9" s="16">
        <v>1</v>
      </c>
      <c r="E9" s="16">
        <v>2</v>
      </c>
    </row>
    <row r="10" spans="1:5" ht="21.75" thickTop="1" thickBot="1">
      <c r="A10" s="17" t="s">
        <v>22</v>
      </c>
      <c r="B10" s="16">
        <f>النشاط!F13</f>
        <v>12</v>
      </c>
      <c r="C10" s="16"/>
      <c r="D10" s="16"/>
      <c r="E10" s="16">
        <v>2</v>
      </c>
    </row>
    <row r="11" spans="1:5" ht="21.75" thickTop="1" thickBot="1">
      <c r="A11" s="17" t="s">
        <v>21</v>
      </c>
      <c r="B11" s="16">
        <f>النشاط!F14</f>
        <v>18</v>
      </c>
      <c r="C11" s="16"/>
      <c r="D11" s="16"/>
      <c r="E11" s="16"/>
    </row>
    <row r="12" spans="1:5" ht="21.75" thickTop="1" thickBot="1">
      <c r="A12" s="17" t="s">
        <v>20</v>
      </c>
      <c r="B12" s="16">
        <f>النشاط!F15</f>
        <v>3</v>
      </c>
      <c r="C12" s="16"/>
      <c r="D12" s="16"/>
      <c r="E12" s="16">
        <v>1</v>
      </c>
    </row>
    <row r="13" spans="1:5" ht="21.75" thickTop="1" thickBot="1">
      <c r="A13" s="17" t="s">
        <v>19</v>
      </c>
      <c r="B13" s="16">
        <f>النشاط!F16</f>
        <v>8</v>
      </c>
      <c r="C13" s="16"/>
      <c r="D13" s="16">
        <v>1</v>
      </c>
      <c r="E13" s="16"/>
    </row>
    <row r="14" spans="1:5" ht="21.75" thickTop="1" thickBot="1">
      <c r="A14" s="17" t="s">
        <v>18</v>
      </c>
      <c r="B14" s="16">
        <f>النشاط!F17</f>
        <v>4</v>
      </c>
      <c r="C14" s="16"/>
      <c r="D14" s="16">
        <v>1</v>
      </c>
      <c r="E14" s="16"/>
    </row>
    <row r="15" spans="1:5" ht="21.75" thickTop="1" thickBot="1">
      <c r="A15" s="17" t="s">
        <v>17</v>
      </c>
      <c r="B15" s="16">
        <f>النشاط!F18</f>
        <v>5</v>
      </c>
      <c r="C15" s="16"/>
      <c r="D15" s="16"/>
      <c r="E15" s="16"/>
    </row>
    <row r="16" spans="1:5" ht="21.75" thickTop="1" thickBot="1">
      <c r="A16" s="17" t="s">
        <v>16</v>
      </c>
      <c r="B16" s="16">
        <f>النشاط!F19</f>
        <v>5</v>
      </c>
      <c r="C16" s="16"/>
      <c r="D16" s="16"/>
      <c r="E16" s="16"/>
    </row>
    <row r="17" spans="1:5" ht="21.75" thickTop="1" thickBot="1">
      <c r="A17" s="17" t="s">
        <v>15</v>
      </c>
      <c r="B17" s="16">
        <f>النشاط!F20</f>
        <v>29</v>
      </c>
      <c r="C17" s="16"/>
      <c r="D17" s="16"/>
      <c r="E17" s="16">
        <v>1</v>
      </c>
    </row>
    <row r="18" spans="1:5" ht="21.75" thickTop="1" thickBot="1">
      <c r="A18" s="17" t="s">
        <v>14</v>
      </c>
      <c r="B18" s="16">
        <f>النشاط!F21</f>
        <v>5</v>
      </c>
      <c r="C18" s="16"/>
      <c r="D18" s="16"/>
      <c r="E18" s="16">
        <v>2</v>
      </c>
    </row>
    <row r="19" spans="1:5" ht="21.75" thickTop="1" thickBot="1">
      <c r="A19" s="17" t="s">
        <v>13</v>
      </c>
      <c r="B19" s="16">
        <f>النشاط!F22</f>
        <v>1</v>
      </c>
      <c r="C19" s="16"/>
      <c r="D19" s="16">
        <v>1</v>
      </c>
      <c r="E19" s="16"/>
    </row>
    <row r="20" spans="1:5" ht="21.75" thickTop="1" thickBot="1">
      <c r="A20" s="17" t="s">
        <v>12</v>
      </c>
      <c r="B20" s="16">
        <f>النشاط!F23</f>
        <v>12</v>
      </c>
      <c r="C20" s="16"/>
      <c r="D20" s="16"/>
      <c r="E20" s="16">
        <v>1</v>
      </c>
    </row>
    <row r="21" spans="1:5" ht="21.75" thickTop="1" thickBot="1">
      <c r="A21" s="17" t="s">
        <v>11</v>
      </c>
      <c r="B21" s="16">
        <f>النشاط!F24</f>
        <v>0</v>
      </c>
      <c r="C21" s="16"/>
      <c r="D21" s="16"/>
      <c r="E21" s="16"/>
    </row>
    <row r="22" spans="1:5" ht="21.75" thickTop="1" thickBot="1">
      <c r="A22" s="17" t="s">
        <v>10</v>
      </c>
      <c r="B22" s="16">
        <f>النشاط!F25</f>
        <v>22</v>
      </c>
      <c r="C22" s="16"/>
      <c r="D22" s="16">
        <v>1</v>
      </c>
      <c r="E22" s="16">
        <v>3</v>
      </c>
    </row>
    <row r="23" spans="1:5" ht="21.75" thickTop="1" thickBot="1">
      <c r="A23" s="17" t="s">
        <v>9</v>
      </c>
      <c r="B23" s="16">
        <f>النشاط!F26</f>
        <v>11</v>
      </c>
      <c r="C23" s="16"/>
      <c r="D23" s="16"/>
      <c r="E23" s="16"/>
    </row>
    <row r="24" spans="1:5" ht="34.5" thickTop="1" thickBot="1">
      <c r="A24" s="17" t="s">
        <v>8</v>
      </c>
      <c r="B24" s="16">
        <f>النشاط!F27</f>
        <v>0</v>
      </c>
      <c r="C24" s="16"/>
      <c r="D24" s="16"/>
      <c r="E24" s="16"/>
    </row>
    <row r="25" spans="1:5" ht="34.5" thickTop="1" thickBot="1">
      <c r="A25" s="17" t="s">
        <v>7</v>
      </c>
      <c r="B25" s="16">
        <f>النشاط!F28</f>
        <v>0</v>
      </c>
      <c r="C25" s="16"/>
      <c r="D25" s="16"/>
      <c r="E25" s="16"/>
    </row>
    <row r="26" spans="1:5" ht="34.5" thickTop="1" thickBot="1">
      <c r="A26" s="17" t="s">
        <v>6</v>
      </c>
      <c r="B26" s="16">
        <f>النشاط!F29</f>
        <v>0</v>
      </c>
      <c r="C26" s="16"/>
      <c r="D26" s="16"/>
      <c r="E26" s="16"/>
    </row>
    <row r="27" spans="1:5" ht="34.5" thickTop="1" thickBot="1">
      <c r="A27" s="17" t="s">
        <v>5</v>
      </c>
      <c r="B27" s="16">
        <f>النشاط!F30</f>
        <v>0</v>
      </c>
      <c r="C27" s="16"/>
      <c r="D27" s="16"/>
      <c r="E27" s="16">
        <v>1</v>
      </c>
    </row>
    <row r="28" spans="1:5" ht="34.5" thickTop="1" thickBot="1">
      <c r="A28" s="17" t="s">
        <v>4</v>
      </c>
      <c r="B28" s="16">
        <f>النشاط!F31</f>
        <v>0</v>
      </c>
      <c r="C28" s="16"/>
      <c r="D28" s="16"/>
      <c r="E28" s="16"/>
    </row>
    <row r="29" spans="1:5" ht="21.75" thickTop="1" thickBot="1">
      <c r="A29" s="17" t="s">
        <v>3</v>
      </c>
      <c r="B29" s="16">
        <f>النشاط!F32</f>
        <v>23</v>
      </c>
      <c r="C29" s="16"/>
      <c r="D29" s="16"/>
      <c r="E29" s="16">
        <v>3</v>
      </c>
    </row>
    <row r="30" spans="1:5" ht="34.5" thickTop="1" thickBot="1">
      <c r="A30" s="17" t="s">
        <v>0</v>
      </c>
      <c r="B30" s="16">
        <f>النشاط!F33</f>
        <v>0</v>
      </c>
      <c r="C30" s="16"/>
      <c r="D30" s="16"/>
      <c r="E30" s="16"/>
    </row>
    <row r="31" spans="1:5" ht="21.75" thickTop="1" thickBot="1">
      <c r="A31" s="17" t="s">
        <v>2</v>
      </c>
      <c r="B31" s="16">
        <f>النشاط!F34</f>
        <v>1</v>
      </c>
      <c r="C31" s="16"/>
      <c r="D31" s="16"/>
      <c r="E31" s="16">
        <v>1</v>
      </c>
    </row>
    <row r="32" spans="1:5" ht="21.75" thickTop="1" thickBot="1">
      <c r="A32" s="18" t="s">
        <v>1</v>
      </c>
      <c r="B32" s="16">
        <f>النشاط!F35</f>
        <v>0</v>
      </c>
      <c r="C32" s="16"/>
      <c r="D32" s="16"/>
      <c r="E32" s="16"/>
    </row>
    <row r="33" spans="1:5" ht="15.75" thickBot="1"/>
    <row r="34" spans="1:5" ht="34.5" thickBot="1">
      <c r="A34" s="19" t="s">
        <v>41</v>
      </c>
      <c r="B34" s="20">
        <f>SUM(Tableau9[عدد الأشخاص المفتش عنهم والملقي عليهم القبض])</f>
        <v>262</v>
      </c>
      <c r="C34" s="20"/>
      <c r="D34" s="20">
        <f>SUM(Tableau9[عدد العناصر الخطيرة المحتفظ بهم])</f>
        <v>8</v>
      </c>
      <c r="E34" s="21">
        <f>SUM(Tableau9[[وسائل محل تفتيش ]])</f>
        <v>20</v>
      </c>
    </row>
  </sheetData>
  <pageMargins left="0.25" right="0.25" top="0.75" bottom="0.75" header="0.3" footer="0.3"/>
  <pageSetup paperSize="9" scale="8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34"/>
  <sheetViews>
    <sheetView rightToLeft="1" workbookViewId="0">
      <selection activeCell="C13" sqref="C13"/>
    </sheetView>
  </sheetViews>
  <sheetFormatPr baseColWidth="10" defaultRowHeight="15"/>
  <cols>
    <col min="1" max="1" width="18.42578125" customWidth="1"/>
    <col min="2" max="2" width="55.7109375" customWidth="1"/>
    <col min="3" max="3" width="57.140625" customWidth="1"/>
    <col min="4" max="4" width="16.42578125" customWidth="1"/>
  </cols>
  <sheetData>
    <row r="1" spans="1:3" ht="36.75" thickBot="1">
      <c r="A1" s="3" t="s">
        <v>33</v>
      </c>
      <c r="B1" s="2" t="s">
        <v>32</v>
      </c>
      <c r="C1" s="2" t="s">
        <v>31</v>
      </c>
    </row>
    <row r="2" spans="1:3" ht="21.75" thickTop="1" thickBot="1">
      <c r="A2" s="22" t="s">
        <v>30</v>
      </c>
      <c r="B2" s="1">
        <v>0</v>
      </c>
      <c r="C2" s="1">
        <v>0</v>
      </c>
    </row>
    <row r="3" spans="1:3" ht="21.75" thickTop="1" thickBot="1">
      <c r="A3" s="22" t="s">
        <v>29</v>
      </c>
      <c r="B3" s="1">
        <v>0</v>
      </c>
      <c r="C3" s="1">
        <v>0</v>
      </c>
    </row>
    <row r="4" spans="1:3" ht="21.75" thickTop="1" thickBot="1">
      <c r="A4" s="22" t="s">
        <v>28</v>
      </c>
      <c r="B4" s="1">
        <v>0</v>
      </c>
      <c r="C4" s="1">
        <v>0</v>
      </c>
    </row>
    <row r="5" spans="1:3" ht="21.75" thickTop="1" thickBot="1">
      <c r="A5" s="22" t="s">
        <v>27</v>
      </c>
      <c r="B5" s="1">
        <v>0</v>
      </c>
      <c r="C5" s="1">
        <v>0</v>
      </c>
    </row>
    <row r="6" spans="1:3" ht="21.75" thickTop="1" thickBot="1">
      <c r="A6" s="22" t="s">
        <v>26</v>
      </c>
      <c r="B6" s="1">
        <v>0</v>
      </c>
      <c r="C6" s="1">
        <v>0</v>
      </c>
    </row>
    <row r="7" spans="1:3" ht="21.75" thickTop="1" thickBot="1">
      <c r="A7" s="22" t="s">
        <v>25</v>
      </c>
      <c r="B7" s="1">
        <v>0</v>
      </c>
      <c r="C7" s="1">
        <v>0</v>
      </c>
    </row>
    <row r="8" spans="1:3" ht="21.75" thickTop="1" thickBot="1">
      <c r="A8" s="22" t="s">
        <v>24</v>
      </c>
      <c r="B8" s="1">
        <v>0</v>
      </c>
      <c r="C8" s="1">
        <v>0</v>
      </c>
    </row>
    <row r="9" spans="1:3" ht="21.75" thickTop="1" thickBot="1">
      <c r="A9" s="22" t="s">
        <v>23</v>
      </c>
      <c r="B9" s="1">
        <v>0</v>
      </c>
      <c r="C9" s="1">
        <v>0</v>
      </c>
    </row>
    <row r="10" spans="1:3" ht="21.75" thickTop="1" thickBot="1">
      <c r="A10" s="22" t="s">
        <v>22</v>
      </c>
      <c r="B10" s="1">
        <v>0</v>
      </c>
      <c r="C10" s="1">
        <v>0</v>
      </c>
    </row>
    <row r="11" spans="1:3" ht="21.75" thickTop="1" thickBot="1">
      <c r="A11" s="22" t="s">
        <v>21</v>
      </c>
      <c r="B11" s="1">
        <v>0</v>
      </c>
      <c r="C11" s="1">
        <v>0</v>
      </c>
    </row>
    <row r="12" spans="1:3" ht="21.75" thickTop="1" thickBot="1">
      <c r="A12" s="22" t="s">
        <v>20</v>
      </c>
      <c r="B12" s="1">
        <v>0</v>
      </c>
      <c r="C12" s="1">
        <v>0</v>
      </c>
    </row>
    <row r="13" spans="1:3" ht="21.75" thickTop="1" thickBot="1">
      <c r="A13" s="22" t="s">
        <v>19</v>
      </c>
      <c r="B13" s="1">
        <v>0</v>
      </c>
      <c r="C13" s="1">
        <v>0</v>
      </c>
    </row>
    <row r="14" spans="1:3" ht="21.75" thickTop="1" thickBot="1">
      <c r="A14" s="22" t="s">
        <v>18</v>
      </c>
      <c r="B14" s="1">
        <v>0</v>
      </c>
      <c r="C14" s="1">
        <v>0</v>
      </c>
    </row>
    <row r="15" spans="1:3" ht="21.75" thickTop="1" thickBot="1">
      <c r="A15" s="22" t="s">
        <v>17</v>
      </c>
      <c r="B15" s="1">
        <v>0</v>
      </c>
      <c r="C15" s="1">
        <v>0</v>
      </c>
    </row>
    <row r="16" spans="1:3" ht="21.75" thickTop="1" thickBot="1">
      <c r="A16" s="22" t="s">
        <v>16</v>
      </c>
      <c r="B16" s="1">
        <v>0</v>
      </c>
      <c r="C16" s="1">
        <v>0</v>
      </c>
    </row>
    <row r="17" spans="1:3" ht="21.75" thickTop="1" thickBot="1">
      <c r="A17" s="22" t="s">
        <v>15</v>
      </c>
      <c r="B17" s="1">
        <v>0</v>
      </c>
      <c r="C17" s="1">
        <v>0</v>
      </c>
    </row>
    <row r="18" spans="1:3" ht="21.75" thickTop="1" thickBot="1">
      <c r="A18" s="22" t="s">
        <v>14</v>
      </c>
      <c r="B18" s="1">
        <v>0</v>
      </c>
      <c r="C18" s="1">
        <v>0</v>
      </c>
    </row>
    <row r="19" spans="1:3" ht="21.75" thickTop="1" thickBot="1">
      <c r="A19" s="22" t="s">
        <v>13</v>
      </c>
      <c r="B19" s="1">
        <v>0</v>
      </c>
      <c r="C19" s="1">
        <v>0</v>
      </c>
    </row>
    <row r="20" spans="1:3" ht="21.75" thickTop="1" thickBot="1">
      <c r="A20" s="22" t="s">
        <v>12</v>
      </c>
      <c r="B20" s="1">
        <v>0</v>
      </c>
      <c r="C20" s="1">
        <v>0</v>
      </c>
    </row>
    <row r="21" spans="1:3" ht="21.75" thickTop="1" thickBot="1">
      <c r="A21" s="22" t="s">
        <v>11</v>
      </c>
      <c r="B21" s="1">
        <v>0</v>
      </c>
      <c r="C21" s="1">
        <v>0</v>
      </c>
    </row>
    <row r="22" spans="1:3" ht="21.75" thickTop="1" thickBot="1">
      <c r="A22" s="22" t="s">
        <v>10</v>
      </c>
      <c r="B22" s="1">
        <v>0</v>
      </c>
      <c r="C22" s="1">
        <v>0</v>
      </c>
    </row>
    <row r="23" spans="1:3" ht="21.75" thickTop="1" thickBot="1">
      <c r="A23" s="22" t="s">
        <v>9</v>
      </c>
      <c r="B23" s="1">
        <v>0</v>
      </c>
      <c r="C23" s="1">
        <v>0</v>
      </c>
    </row>
    <row r="24" spans="1:3" ht="42" thickTop="1" thickBot="1">
      <c r="A24" s="22" t="s">
        <v>8</v>
      </c>
      <c r="B24" s="1">
        <v>0</v>
      </c>
      <c r="C24" s="1">
        <v>0</v>
      </c>
    </row>
    <row r="25" spans="1:3" ht="42" thickTop="1" thickBot="1">
      <c r="A25" s="22" t="s">
        <v>7</v>
      </c>
      <c r="B25" s="1">
        <v>0</v>
      </c>
      <c r="C25" s="1">
        <v>0</v>
      </c>
    </row>
    <row r="26" spans="1:3" ht="42" thickTop="1" thickBot="1">
      <c r="A26" s="22" t="s">
        <v>6</v>
      </c>
      <c r="B26" s="1">
        <v>0</v>
      </c>
      <c r="C26" s="1">
        <v>0</v>
      </c>
    </row>
    <row r="27" spans="1:3" ht="42" thickTop="1" thickBot="1">
      <c r="A27" s="22" t="s">
        <v>5</v>
      </c>
      <c r="B27" s="1">
        <v>0</v>
      </c>
      <c r="C27" s="1">
        <v>0</v>
      </c>
    </row>
    <row r="28" spans="1:3" ht="42" thickTop="1" thickBot="1">
      <c r="A28" s="22" t="s">
        <v>4</v>
      </c>
      <c r="B28" s="1">
        <v>0</v>
      </c>
      <c r="C28" s="1">
        <v>0</v>
      </c>
    </row>
    <row r="29" spans="1:3" ht="21.75" thickTop="1" thickBot="1">
      <c r="A29" s="22" t="s">
        <v>3</v>
      </c>
      <c r="B29" s="1">
        <v>0</v>
      </c>
      <c r="C29" s="1">
        <v>0</v>
      </c>
    </row>
    <row r="30" spans="1:3" ht="42" thickTop="1" thickBot="1">
      <c r="A30" s="22" t="s">
        <v>2</v>
      </c>
      <c r="B30" s="1">
        <v>0</v>
      </c>
      <c r="C30" s="1">
        <v>0</v>
      </c>
    </row>
    <row r="31" spans="1:3" ht="42" thickTop="1" thickBot="1">
      <c r="A31" s="22" t="s">
        <v>1</v>
      </c>
      <c r="B31" s="1">
        <v>0</v>
      </c>
      <c r="C31" s="1">
        <v>0</v>
      </c>
    </row>
    <row r="32" spans="1:3" ht="41.25" thickTop="1">
      <c r="A32" s="23" t="s">
        <v>0</v>
      </c>
      <c r="B32" s="28">
        <v>0</v>
      </c>
      <c r="C32" s="28">
        <v>0</v>
      </c>
    </row>
    <row r="33" spans="1:3" ht="15.75" thickBot="1"/>
    <row r="34" spans="1:3" ht="34.5" thickBot="1">
      <c r="A34" s="19" t="s">
        <v>41</v>
      </c>
      <c r="B34" s="19">
        <f>SUM(Tableau7[عدد المحتفظ بهم من أجل الاشتباه أو الانتماء إلى تنظيم إرهابي])</f>
        <v>0</v>
      </c>
      <c r="C34" s="19">
        <f>SUM(Tableau7[عدد المحتفظ بهم المفتش عنهم من أجل الاشتباه أو الانتماء إلى تنظيم إرهابي])</f>
        <v>0</v>
      </c>
    </row>
  </sheetData>
  <pageMargins left="0.25" right="0.25" top="0.75" bottom="0.75" header="0.3" footer="0.3"/>
  <pageSetup paperSize="9" scale="7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النشاط</vt:lpstr>
      <vt:lpstr>العناصر الخطيرة   </vt:lpstr>
      <vt:lpstr>العناصر السلفية  </vt:lpstr>
      <vt:lpstr>'العناصر السلفية  '!Zone_d_impression</vt:lpstr>
      <vt:lpstr>النشاط!Zone_d_impression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Mhadhbi Jedidi</dc:creator>
  <cp:lastModifiedBy>STAT</cp:lastModifiedBy>
  <cp:lastPrinted>2026-01-02T01:23:54Z</cp:lastPrinted>
  <dcterms:created xsi:type="dcterms:W3CDTF">2015-06-05T18:19:34Z</dcterms:created>
  <dcterms:modified xsi:type="dcterms:W3CDTF">2026-01-13T12:34:29Z</dcterms:modified>
</cp:coreProperties>
</file>