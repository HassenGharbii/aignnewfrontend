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ebextensions/webextension1.xml" ContentType="application/vnd.ms-office.webextension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tables/table5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-120" yWindow="-120" windowWidth="51840" windowHeight="21120" tabRatio="836" activeTab="2"/>
  </bookViews>
  <sheets>
    <sheet name="اسلحة" sheetId="14" r:id="rId1"/>
    <sheet name="مشروبات كحولية" sheetId="13" r:id="rId2"/>
    <sheet name="مخدرات" sheetId="15" r:id="rId3"/>
    <sheet name="مخدرات (2)" sheetId="16" r:id="rId4"/>
    <sheet name="غرق مراكب الهجرة" sheetId="12" r:id="rId5"/>
    <sheet name="بطاقة الاجتياز" sheetId="3" r:id="rId6"/>
    <sheet name="الاجتياز" sheetId="2" r:id="rId7"/>
    <sheet name="برا" sheetId="9" r:id="rId8"/>
    <sheet name="بحرا" sheetId="8" r:id="rId9"/>
  </sheets>
  <definedNames>
    <definedName name="DonnéesExternes_1" localSheetId="8" hidden="1">بحرا!$A$1:$AG$31</definedName>
    <definedName name="DonnéesExternes_1" localSheetId="7" hidden="1">برا!$A$1:$AG$31</definedName>
    <definedName name="_xlnm.Print_Area" localSheetId="0">Tableau4[#All]</definedName>
    <definedName name="_xlnm.Print_Area" localSheetId="6">الاجتياز!$B$2:$AN$41,الاجتياز!$B$46:$AN$85</definedName>
    <definedName name="_xlnm.Print_Area" localSheetId="8">بحرا!$A$1:$AJ$44</definedName>
    <definedName name="_xlnm.Print_Area" localSheetId="5">'بطاقة الاجتياز'!$B$3:$W$12,'بطاقة الاجتياز'!$B$14:$W$23</definedName>
    <definedName name="_xlnm.Print_Area" localSheetId="4">'غرق مراكب الهجرة'!$B$2:$O$20</definedName>
    <definedName name="_xlnm.Print_Area" localSheetId="1">Tableau5[#All]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3"/>
  <c r="D19"/>
  <c r="E19"/>
  <c r="F19"/>
  <c r="G19" s="1"/>
  <c r="H19"/>
  <c r="I19"/>
  <c r="J19"/>
  <c r="K19"/>
  <c r="M19" s="1"/>
  <c r="L19"/>
  <c r="N19"/>
  <c r="P19" s="1"/>
  <c r="O19"/>
  <c r="Q19"/>
  <c r="R19"/>
  <c r="S19"/>
  <c r="T19"/>
  <c r="U19"/>
  <c r="V19"/>
  <c r="W19"/>
  <c r="C20"/>
  <c r="D20"/>
  <c r="E20"/>
  <c r="G20" s="1"/>
  <c r="F20"/>
  <c r="H20"/>
  <c r="I20"/>
  <c r="J20"/>
  <c r="K20"/>
  <c r="L20"/>
  <c r="M20"/>
  <c r="N20"/>
  <c r="P20" s="1"/>
  <c r="O20"/>
  <c r="Q20"/>
  <c r="R20"/>
  <c r="S20"/>
  <c r="T20"/>
  <c r="U20"/>
  <c r="V20"/>
  <c r="W20"/>
  <c r="B10" i="16" l="1"/>
  <c r="C10"/>
  <c r="D10"/>
  <c r="E10"/>
  <c r="F10"/>
  <c r="G10"/>
  <c r="H10"/>
  <c r="I10"/>
  <c r="J10"/>
  <c r="K10"/>
  <c r="L10"/>
  <c r="M10"/>
  <c r="N10"/>
  <c r="O10"/>
  <c r="P10"/>
  <c r="S10"/>
  <c r="T10"/>
  <c r="V10"/>
  <c r="W10"/>
  <c r="X10"/>
  <c r="Z10"/>
  <c r="AA10"/>
  <c r="AB10"/>
  <c r="AD10"/>
  <c r="AE10"/>
  <c r="AF10"/>
  <c r="AH10"/>
  <c r="AI10"/>
  <c r="AJ10"/>
  <c r="AL10"/>
  <c r="AM10"/>
  <c r="AN10"/>
  <c r="AO10"/>
  <c r="AP10"/>
  <c r="AQ10"/>
  <c r="AR10"/>
  <c r="AS10"/>
  <c r="AT10"/>
  <c r="AU10"/>
  <c r="AV10"/>
  <c r="AW10"/>
  <c r="AX10"/>
  <c r="AY10"/>
  <c r="AZ10"/>
  <c r="BA10"/>
  <c r="AC10" l="1"/>
  <c r="R10"/>
  <c r="AK10"/>
  <c r="BB10" s="1"/>
  <c r="AG10"/>
  <c r="U10"/>
  <c r="Y10"/>
  <c r="Q46" i="2" l="1"/>
  <c r="B9" i="16"/>
  <c r="C9"/>
  <c r="D9"/>
  <c r="E9"/>
  <c r="F9"/>
  <c r="G9"/>
  <c r="H9"/>
  <c r="I9"/>
  <c r="J9"/>
  <c r="K9"/>
  <c r="L9"/>
  <c r="M9"/>
  <c r="N9"/>
  <c r="O9"/>
  <c r="P9"/>
  <c r="S9"/>
  <c r="T9"/>
  <c r="V9"/>
  <c r="W9"/>
  <c r="X9"/>
  <c r="Z9"/>
  <c r="AA9"/>
  <c r="AB9"/>
  <c r="AD9"/>
  <c r="AE9"/>
  <c r="AF9"/>
  <c r="AH9"/>
  <c r="AI9"/>
  <c r="AJ9"/>
  <c r="AL9"/>
  <c r="AM9"/>
  <c r="AN9"/>
  <c r="AO9"/>
  <c r="AP9"/>
  <c r="AQ9"/>
  <c r="AR9"/>
  <c r="AS9"/>
  <c r="AT9"/>
  <c r="AU9"/>
  <c r="AV9"/>
  <c r="AW9"/>
  <c r="AX9"/>
  <c r="AY9"/>
  <c r="AZ9"/>
  <c r="BA9"/>
  <c r="B11"/>
  <c r="C11"/>
  <c r="D11"/>
  <c r="E11"/>
  <c r="F11"/>
  <c r="G11"/>
  <c r="H11"/>
  <c r="I11"/>
  <c r="J11"/>
  <c r="K11"/>
  <c r="L11"/>
  <c r="M11"/>
  <c r="N11"/>
  <c r="O11"/>
  <c r="P11"/>
  <c r="S11"/>
  <c r="T11"/>
  <c r="V11"/>
  <c r="W11"/>
  <c r="X11"/>
  <c r="Z11"/>
  <c r="AA11"/>
  <c r="AB11"/>
  <c r="AD11"/>
  <c r="AE11"/>
  <c r="AF11"/>
  <c r="AH11"/>
  <c r="AI11"/>
  <c r="AJ11"/>
  <c r="AL11"/>
  <c r="AM11"/>
  <c r="AN11"/>
  <c r="AO11"/>
  <c r="AP11"/>
  <c r="AQ11"/>
  <c r="AR11"/>
  <c r="AS11"/>
  <c r="AT11"/>
  <c r="AU11"/>
  <c r="AV11"/>
  <c r="AW11"/>
  <c r="AX11"/>
  <c r="AY11"/>
  <c r="AZ11"/>
  <c r="BA11"/>
  <c r="N17" i="12"/>
  <c r="AK9" i="16" l="1"/>
  <c r="BB9" s="1"/>
  <c r="U9"/>
  <c r="Y9"/>
  <c r="AG9"/>
  <c r="AC9"/>
  <c r="R9"/>
  <c r="R11"/>
  <c r="AK11"/>
  <c r="BB11" s="1"/>
  <c r="AG11"/>
  <c r="U11"/>
  <c r="Y11"/>
  <c r="AC11"/>
  <c r="O34" i="15" l="1"/>
  <c r="D17" i="12" l="1"/>
  <c r="E17"/>
  <c r="F17"/>
  <c r="G17"/>
  <c r="I17"/>
  <c r="J17"/>
  <c r="J18" s="1"/>
  <c r="J19" s="1"/>
  <c r="K17"/>
  <c r="L17"/>
  <c r="M17"/>
  <c r="L18"/>
  <c r="C33" i="14" l="1"/>
  <c r="D33"/>
  <c r="E33"/>
  <c r="F33"/>
  <c r="G33"/>
  <c r="H33"/>
  <c r="I33"/>
  <c r="B33"/>
  <c r="D33" i="13" l="1"/>
  <c r="H17" i="12" l="1"/>
  <c r="B8" i="16" l="1"/>
  <c r="C8"/>
  <c r="C12" s="1"/>
  <c r="D8"/>
  <c r="E8"/>
  <c r="F8"/>
  <c r="G8"/>
  <c r="H8"/>
  <c r="I8"/>
  <c r="J8"/>
  <c r="K8"/>
  <c r="L8"/>
  <c r="M8"/>
  <c r="N8"/>
  <c r="O8"/>
  <c r="P8"/>
  <c r="S8"/>
  <c r="S12" s="1"/>
  <c r="T8"/>
  <c r="T12" s="1"/>
  <c r="V8"/>
  <c r="V12" s="1"/>
  <c r="W8"/>
  <c r="W12" s="1"/>
  <c r="X8"/>
  <c r="X12" s="1"/>
  <c r="Z8"/>
  <c r="Z12" s="1"/>
  <c r="AA8"/>
  <c r="AA12" s="1"/>
  <c r="AB8"/>
  <c r="AB12" s="1"/>
  <c r="AD8"/>
  <c r="AD12" s="1"/>
  <c r="AE8"/>
  <c r="AE12" s="1"/>
  <c r="AF8"/>
  <c r="AF12" s="1"/>
  <c r="AH8"/>
  <c r="AI8"/>
  <c r="AJ8"/>
  <c r="AL8"/>
  <c r="AM8"/>
  <c r="AN8"/>
  <c r="AO8"/>
  <c r="AP8"/>
  <c r="AQ8"/>
  <c r="AR8"/>
  <c r="AS8"/>
  <c r="AT8"/>
  <c r="AU8"/>
  <c r="AV8"/>
  <c r="AW8"/>
  <c r="AX8"/>
  <c r="AY8"/>
  <c r="AZ8"/>
  <c r="BA8"/>
  <c r="U12" l="1"/>
  <c r="M12"/>
  <c r="AK8"/>
  <c r="BB8" s="1"/>
  <c r="AG8"/>
  <c r="U8"/>
  <c r="R8"/>
  <c r="Y8"/>
  <c r="AC8"/>
  <c r="M34" i="15"/>
  <c r="H45" s="1"/>
  <c r="P34" l="1"/>
  <c r="H44" s="1"/>
  <c r="X34" l="1"/>
  <c r="X43" s="1"/>
  <c r="AB34" l="1"/>
  <c r="AG41" s="1"/>
  <c r="U34"/>
  <c r="S43" s="1"/>
  <c r="AS34"/>
  <c r="AR34"/>
  <c r="AQ34"/>
  <c r="AP34"/>
  <c r="AO34"/>
  <c r="AN34"/>
  <c r="AM34"/>
  <c r="AL34"/>
  <c r="AK34"/>
  <c r="AJ34"/>
  <c r="AI34"/>
  <c r="AH34"/>
  <c r="AG34"/>
  <c r="AF34"/>
  <c r="AE34"/>
  <c r="AD34"/>
  <c r="AC34"/>
  <c r="AA34"/>
  <c r="AC43" s="1"/>
  <c r="Z34"/>
  <c r="AC42" s="1"/>
  <c r="Y34"/>
  <c r="AC41" s="1"/>
  <c r="W34"/>
  <c r="X42" s="1"/>
  <c r="V34"/>
  <c r="X41" s="1"/>
  <c r="T34"/>
  <c r="S42" s="1"/>
  <c r="S34"/>
  <c r="S41" s="1"/>
  <c r="R34"/>
  <c r="N42" s="1"/>
  <c r="Q34"/>
  <c r="N41" s="1"/>
  <c r="H43"/>
  <c r="N34"/>
  <c r="H42" s="1"/>
  <c r="L34"/>
  <c r="H41" s="1"/>
  <c r="K34"/>
  <c r="J34"/>
  <c r="I34"/>
  <c r="H34"/>
  <c r="G34"/>
  <c r="F34"/>
  <c r="E34"/>
  <c r="D34"/>
  <c r="C34"/>
  <c r="B34"/>
  <c r="I48" l="1"/>
  <c r="P12" i="16"/>
  <c r="O12"/>
  <c r="AM12"/>
  <c r="AY12"/>
  <c r="AU12"/>
  <c r="F12"/>
  <c r="AT12"/>
  <c r="G12"/>
  <c r="J12"/>
  <c r="AP12"/>
  <c r="AX12"/>
  <c r="BA12"/>
  <c r="K12"/>
  <c r="AQ12"/>
  <c r="D12"/>
  <c r="H12"/>
  <c r="AI12"/>
  <c r="AN12"/>
  <c r="AR12"/>
  <c r="AV12"/>
  <c r="AZ12"/>
  <c r="N12"/>
  <c r="AJ12"/>
  <c r="AO12"/>
  <c r="AL12"/>
  <c r="L12"/>
  <c r="R12" l="1"/>
  <c r="AW12"/>
  <c r="I12"/>
  <c r="AS12"/>
  <c r="E12"/>
  <c r="AK12"/>
  <c r="C35" i="8" l="1"/>
  <c r="D35"/>
  <c r="E35"/>
  <c r="F35"/>
  <c r="G35"/>
  <c r="H35"/>
  <c r="I35"/>
  <c r="J35"/>
  <c r="K35"/>
  <c r="L35"/>
  <c r="M35"/>
  <c r="N35"/>
  <c r="O35"/>
  <c r="P35"/>
  <c r="Q35"/>
  <c r="R35"/>
  <c r="S35"/>
  <c r="T35"/>
  <c r="AJ35" l="1"/>
  <c r="AJ34" i="9"/>
  <c r="AJ34" i="8" s="1"/>
  <c r="AI35" l="1"/>
  <c r="AH35"/>
  <c r="AG35"/>
  <c r="AF35"/>
  <c r="AE35"/>
  <c r="AC35"/>
  <c r="AB35"/>
  <c r="AA35"/>
  <c r="Z35"/>
  <c r="Y35"/>
  <c r="X35"/>
  <c r="W35"/>
  <c r="V35"/>
  <c r="U35"/>
  <c r="AH34"/>
  <c r="AI34"/>
  <c r="C33" i="13"/>
  <c r="E33"/>
  <c r="M38" s="1"/>
  <c r="F33"/>
  <c r="M39" s="1"/>
  <c r="G33"/>
  <c r="M40" s="1"/>
  <c r="H33"/>
  <c r="M41" s="1"/>
  <c r="I33"/>
  <c r="B33"/>
  <c r="AH36" i="8" l="1"/>
  <c r="I62" s="1"/>
  <c r="AI36"/>
  <c r="I63" s="1"/>
  <c r="AJ36"/>
  <c r="I64" s="1"/>
  <c r="AD35"/>
  <c r="M37" i="13" l="1"/>
  <c r="M43" l="1"/>
  <c r="M41" i="14" l="1"/>
  <c r="M39"/>
  <c r="M43"/>
  <c r="M42"/>
  <c r="M40"/>
  <c r="M38"/>
  <c r="M37"/>
  <c r="M45" l="1"/>
  <c r="M42" i="13" l="1"/>
  <c r="M45" l="1"/>
  <c r="F36" i="8" l="1"/>
  <c r="F18" i="12" l="1"/>
  <c r="H18" l="1"/>
  <c r="F19" s="1"/>
  <c r="D36" i="8" l="1"/>
  <c r="E36"/>
  <c r="G36"/>
  <c r="H36"/>
  <c r="I36"/>
  <c r="J36"/>
  <c r="K36"/>
  <c r="L36"/>
  <c r="M36"/>
  <c r="N36"/>
  <c r="O36"/>
  <c r="P36"/>
  <c r="Q36"/>
  <c r="R36"/>
  <c r="S36"/>
  <c r="T36"/>
  <c r="C36"/>
  <c r="D34" i="9"/>
  <c r="E34"/>
  <c r="F34"/>
  <c r="G34"/>
  <c r="H34"/>
  <c r="I34"/>
  <c r="J34"/>
  <c r="K34"/>
  <c r="L34"/>
  <c r="M34"/>
  <c r="N34"/>
  <c r="O34"/>
  <c r="P34"/>
  <c r="Q34"/>
  <c r="R34"/>
  <c r="S34"/>
  <c r="T34"/>
  <c r="U34"/>
  <c r="U34" i="8" s="1"/>
  <c r="U36" s="1"/>
  <c r="I53" s="1"/>
  <c r="V34" i="9"/>
  <c r="V34" i="8" s="1"/>
  <c r="V36" s="1"/>
  <c r="I54" s="1"/>
  <c r="W34" i="9"/>
  <c r="W34" i="8" s="1"/>
  <c r="W36" s="1"/>
  <c r="I55" s="1"/>
  <c r="X34" i="9"/>
  <c r="X34" i="8" s="1"/>
  <c r="X36" s="1"/>
  <c r="I56" s="1"/>
  <c r="Y34" i="9"/>
  <c r="Y34" i="8" s="1"/>
  <c r="Y36" s="1"/>
  <c r="I57" s="1"/>
  <c r="Z34" i="9"/>
  <c r="Z34" i="8" s="1"/>
  <c r="Z36" s="1"/>
  <c r="I58" s="1"/>
  <c r="AA34" i="9"/>
  <c r="AA34" i="8" s="1"/>
  <c r="AA36" s="1"/>
  <c r="I65" s="1"/>
  <c r="AB34" i="9"/>
  <c r="AB34" i="8" s="1"/>
  <c r="AB36" s="1"/>
  <c r="I66" s="1"/>
  <c r="AC34" i="9"/>
  <c r="AC34" i="8" s="1"/>
  <c r="AC36" s="1"/>
  <c r="I67" s="1"/>
  <c r="AD34" i="9"/>
  <c r="AD34" i="8" s="1"/>
  <c r="AD36" s="1"/>
  <c r="I59" s="1"/>
  <c r="AE34" i="9"/>
  <c r="AE34" i="8" s="1"/>
  <c r="AE36" s="1"/>
  <c r="I68" s="1"/>
  <c r="AF34" i="9"/>
  <c r="AF34" i="8" s="1"/>
  <c r="AF36" s="1"/>
  <c r="I61" s="1"/>
  <c r="AG34" i="9"/>
  <c r="AG34" i="8" s="1"/>
  <c r="AG36" s="1"/>
  <c r="I60" s="1"/>
  <c r="C34" i="9"/>
  <c r="I75" i="8" l="1"/>
  <c r="B53" i="2" l="1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AL68" l="1"/>
  <c r="AM68"/>
  <c r="AK68"/>
  <c r="AK67"/>
  <c r="AL67"/>
  <c r="AM67"/>
  <c r="AK81"/>
  <c r="AL81"/>
  <c r="AM81"/>
  <c r="AK80"/>
  <c r="AL80"/>
  <c r="AM80"/>
  <c r="AK79"/>
  <c r="AL79"/>
  <c r="AM79"/>
  <c r="AK78"/>
  <c r="AL78"/>
  <c r="AM78"/>
  <c r="AK77"/>
  <c r="AL77"/>
  <c r="AM77"/>
  <c r="AK76"/>
  <c r="AL76"/>
  <c r="AM76"/>
  <c r="AK72"/>
  <c r="AL72"/>
  <c r="AM72"/>
  <c r="AK82"/>
  <c r="AL82"/>
  <c r="AM82"/>
  <c r="AK66"/>
  <c r="AL66"/>
  <c r="AM66"/>
  <c r="AK65"/>
  <c r="AL65"/>
  <c r="AM65"/>
  <c r="AK64"/>
  <c r="AL64"/>
  <c r="AM64"/>
  <c r="AK63"/>
  <c r="AL63"/>
  <c r="AM63"/>
  <c r="AK62"/>
  <c r="AL62"/>
  <c r="AM62"/>
  <c r="AK61"/>
  <c r="AL61"/>
  <c r="AM61"/>
  <c r="AK60"/>
  <c r="AL60"/>
  <c r="AM60"/>
  <c r="AK75"/>
  <c r="AL75"/>
  <c r="AM75"/>
  <c r="AK59"/>
  <c r="AL59"/>
  <c r="AM59"/>
  <c r="C74"/>
  <c r="D74"/>
  <c r="E74"/>
  <c r="AK74"/>
  <c r="AL74"/>
  <c r="AM74"/>
  <c r="AK58"/>
  <c r="AL58"/>
  <c r="AM58"/>
  <c r="AM73"/>
  <c r="AK73"/>
  <c r="AL73"/>
  <c r="AM57"/>
  <c r="AK57"/>
  <c r="AL57"/>
  <c r="AK56"/>
  <c r="AL56"/>
  <c r="AM56"/>
  <c r="AK71"/>
  <c r="AL71"/>
  <c r="AM71"/>
  <c r="AK55"/>
  <c r="AL55"/>
  <c r="AM55"/>
  <c r="AK70"/>
  <c r="AL70"/>
  <c r="AM70"/>
  <c r="AK54"/>
  <c r="AL54"/>
  <c r="AM54"/>
  <c r="AK69"/>
  <c r="AL69"/>
  <c r="AM69"/>
  <c r="AM53"/>
  <c r="AL53"/>
  <c r="AK53"/>
  <c r="V55"/>
  <c r="W55"/>
  <c r="U55"/>
  <c r="U80"/>
  <c r="V80"/>
  <c r="W80"/>
  <c r="U72"/>
  <c r="V72"/>
  <c r="W72"/>
  <c r="U64"/>
  <c r="V64"/>
  <c r="W64"/>
  <c r="W79"/>
  <c r="U79"/>
  <c r="V79"/>
  <c r="U71"/>
  <c r="V71"/>
  <c r="W71"/>
  <c r="W82"/>
  <c r="U82"/>
  <c r="V82"/>
  <c r="W66"/>
  <c r="U66"/>
  <c r="V66"/>
  <c r="U54"/>
  <c r="V54"/>
  <c r="W54"/>
  <c r="U18" i="3" s="1"/>
  <c r="U76" i="2"/>
  <c r="V76"/>
  <c r="W76"/>
  <c r="U68"/>
  <c r="V68"/>
  <c r="W68"/>
  <c r="W60"/>
  <c r="U60"/>
  <c r="V60"/>
  <c r="W56"/>
  <c r="U56"/>
  <c r="V56"/>
  <c r="U75"/>
  <c r="V75"/>
  <c r="W75"/>
  <c r="W67"/>
  <c r="U67"/>
  <c r="V67"/>
  <c r="V59"/>
  <c r="W59"/>
  <c r="U59"/>
  <c r="W78"/>
  <c r="U78"/>
  <c r="V78"/>
  <c r="W74"/>
  <c r="V74"/>
  <c r="U74"/>
  <c r="W70"/>
  <c r="U70"/>
  <c r="V70"/>
  <c r="U58"/>
  <c r="V58"/>
  <c r="W58"/>
  <c r="V81"/>
  <c r="W81"/>
  <c r="U81"/>
  <c r="V77"/>
  <c r="W77"/>
  <c r="U77"/>
  <c r="V73"/>
  <c r="W73"/>
  <c r="U73"/>
  <c r="V69"/>
  <c r="W69"/>
  <c r="U69"/>
  <c r="V65"/>
  <c r="W65"/>
  <c r="U65"/>
  <c r="U61"/>
  <c r="V61"/>
  <c r="W61"/>
  <c r="U57"/>
  <c r="V57"/>
  <c r="W57"/>
  <c r="U53"/>
  <c r="W53"/>
  <c r="V53"/>
  <c r="V63"/>
  <c r="W63"/>
  <c r="U63"/>
  <c r="U62"/>
  <c r="V62"/>
  <c r="W62"/>
  <c r="F76"/>
  <c r="J76"/>
  <c r="N76"/>
  <c r="S76"/>
  <c r="X76"/>
  <c r="AB76"/>
  <c r="AF76"/>
  <c r="AJ76"/>
  <c r="G76"/>
  <c r="L76"/>
  <c r="Q76"/>
  <c r="Y76"/>
  <c r="AD76"/>
  <c r="AI76"/>
  <c r="C76"/>
  <c r="I76"/>
  <c r="P76"/>
  <c r="Z76"/>
  <c r="AG76"/>
  <c r="D76"/>
  <c r="K76"/>
  <c r="AA76"/>
  <c r="AH76"/>
  <c r="H76"/>
  <c r="M76"/>
  <c r="AC76"/>
  <c r="O76"/>
  <c r="AE76"/>
  <c r="E76"/>
  <c r="F68"/>
  <c r="J68"/>
  <c r="N68"/>
  <c r="S68"/>
  <c r="X68"/>
  <c r="AB68"/>
  <c r="AF68"/>
  <c r="AJ68"/>
  <c r="D68"/>
  <c r="I68"/>
  <c r="O68"/>
  <c r="AA68"/>
  <c r="AG68"/>
  <c r="C68"/>
  <c r="K68"/>
  <c r="Q68"/>
  <c r="Z68"/>
  <c r="AH68"/>
  <c r="E68"/>
  <c r="L68"/>
  <c r="AC68"/>
  <c r="AI68"/>
  <c r="G68"/>
  <c r="M68"/>
  <c r="AD68"/>
  <c r="AE68"/>
  <c r="H68"/>
  <c r="P68"/>
  <c r="Y68"/>
  <c r="F60"/>
  <c r="J60"/>
  <c r="N60"/>
  <c r="S60"/>
  <c r="X60"/>
  <c r="AB60"/>
  <c r="AF60"/>
  <c r="AJ60"/>
  <c r="G60"/>
  <c r="L60"/>
  <c r="Q60"/>
  <c r="Y60"/>
  <c r="AD60"/>
  <c r="AI60"/>
  <c r="D60"/>
  <c r="K60"/>
  <c r="AA60"/>
  <c r="AH60"/>
  <c r="E60"/>
  <c r="O60"/>
  <c r="Z60"/>
  <c r="I60"/>
  <c r="M60"/>
  <c r="AC60"/>
  <c r="C60"/>
  <c r="P60"/>
  <c r="AE60"/>
  <c r="AG60"/>
  <c r="H60"/>
  <c r="F56"/>
  <c r="J56"/>
  <c r="N56"/>
  <c r="S56"/>
  <c r="X56"/>
  <c r="AB56"/>
  <c r="AF56"/>
  <c r="AJ56"/>
  <c r="E56"/>
  <c r="K56"/>
  <c r="P56"/>
  <c r="AC56"/>
  <c r="AH56"/>
  <c r="H56"/>
  <c r="O56"/>
  <c r="Y56"/>
  <c r="AE56"/>
  <c r="D56"/>
  <c r="M56"/>
  <c r="Z56"/>
  <c r="AI56"/>
  <c r="C56"/>
  <c r="Q56"/>
  <c r="AD56"/>
  <c r="G56"/>
  <c r="AG56"/>
  <c r="I56"/>
  <c r="L56"/>
  <c r="AA56"/>
  <c r="C75"/>
  <c r="G75"/>
  <c r="K75"/>
  <c r="O75"/>
  <c r="Y75"/>
  <c r="AC75"/>
  <c r="AG75"/>
  <c r="H75"/>
  <c r="M75"/>
  <c r="S75"/>
  <c r="Z75"/>
  <c r="AE75"/>
  <c r="AJ75"/>
  <c r="F75"/>
  <c r="N75"/>
  <c r="AD75"/>
  <c r="I75"/>
  <c r="P75"/>
  <c r="X75"/>
  <c r="AF75"/>
  <c r="L75"/>
  <c r="AB75"/>
  <c r="D75"/>
  <c r="Q75"/>
  <c r="AH75"/>
  <c r="AA75"/>
  <c r="E75"/>
  <c r="AI75"/>
  <c r="J75"/>
  <c r="C59"/>
  <c r="G59"/>
  <c r="K59"/>
  <c r="O59"/>
  <c r="Y59"/>
  <c r="AC59"/>
  <c r="AG59"/>
  <c r="H59"/>
  <c r="M59"/>
  <c r="S59"/>
  <c r="Z59"/>
  <c r="AE59"/>
  <c r="AJ59"/>
  <c r="I59"/>
  <c r="P59"/>
  <c r="X59"/>
  <c r="AF59"/>
  <c r="J59"/>
  <c r="AD59"/>
  <c r="E59"/>
  <c r="Q59"/>
  <c r="AH59"/>
  <c r="F59"/>
  <c r="AI59"/>
  <c r="L59"/>
  <c r="AA59"/>
  <c r="D59"/>
  <c r="N59"/>
  <c r="AB59"/>
  <c r="D55"/>
  <c r="H55"/>
  <c r="L55"/>
  <c r="P55"/>
  <c r="Z55"/>
  <c r="AD55"/>
  <c r="AH55"/>
  <c r="G55"/>
  <c r="M55"/>
  <c r="S55"/>
  <c r="Y55"/>
  <c r="AE55"/>
  <c r="AJ55"/>
  <c r="F55"/>
  <c r="N55"/>
  <c r="AC55"/>
  <c r="J55"/>
  <c r="AF55"/>
  <c r="K55"/>
  <c r="AA55"/>
  <c r="C55"/>
  <c r="O55"/>
  <c r="AB55"/>
  <c r="E55"/>
  <c r="Q55"/>
  <c r="AG55"/>
  <c r="AI55"/>
  <c r="I55"/>
  <c r="X55"/>
  <c r="F82"/>
  <c r="J82"/>
  <c r="N82"/>
  <c r="S82"/>
  <c r="X82"/>
  <c r="AB82"/>
  <c r="AF82"/>
  <c r="AJ82"/>
  <c r="E82"/>
  <c r="K82"/>
  <c r="P82"/>
  <c r="AC82"/>
  <c r="AH82"/>
  <c r="G82"/>
  <c r="L82"/>
  <c r="Q82"/>
  <c r="Y82"/>
  <c r="AD82"/>
  <c r="AI82"/>
  <c r="I82"/>
  <c r="AG82"/>
  <c r="C82"/>
  <c r="M82"/>
  <c r="Z82"/>
  <c r="O82"/>
  <c r="D82"/>
  <c r="AA82"/>
  <c r="AE82"/>
  <c r="H82"/>
  <c r="D78"/>
  <c r="H78"/>
  <c r="L78"/>
  <c r="P78"/>
  <c r="Z78"/>
  <c r="AD78"/>
  <c r="AH78"/>
  <c r="E78"/>
  <c r="J78"/>
  <c r="O78"/>
  <c r="AB78"/>
  <c r="AG78"/>
  <c r="G78"/>
  <c r="N78"/>
  <c r="X78"/>
  <c r="AE78"/>
  <c r="I78"/>
  <c r="Q78"/>
  <c r="Y78"/>
  <c r="AF78"/>
  <c r="M78"/>
  <c r="AC78"/>
  <c r="C78"/>
  <c r="S78"/>
  <c r="AI78"/>
  <c r="F78"/>
  <c r="AJ78"/>
  <c r="K78"/>
  <c r="AA78"/>
  <c r="H74"/>
  <c r="L74"/>
  <c r="P74"/>
  <c r="Z74"/>
  <c r="AD74"/>
  <c r="AH74"/>
  <c r="I74"/>
  <c r="N74"/>
  <c r="AA74"/>
  <c r="AF74"/>
  <c r="K74"/>
  <c r="S74"/>
  <c r="AB74"/>
  <c r="AI74"/>
  <c r="F74"/>
  <c r="M74"/>
  <c r="AC74"/>
  <c r="AJ74"/>
  <c r="Q74"/>
  <c r="AG74"/>
  <c r="G74"/>
  <c r="X74"/>
  <c r="Y74"/>
  <c r="AE74"/>
  <c r="J74"/>
  <c r="O74"/>
  <c r="D70"/>
  <c r="H70"/>
  <c r="L70"/>
  <c r="P70"/>
  <c r="Z70"/>
  <c r="AD70"/>
  <c r="AH70"/>
  <c r="G70"/>
  <c r="M70"/>
  <c r="S70"/>
  <c r="Y70"/>
  <c r="AE70"/>
  <c r="AJ70"/>
  <c r="I70"/>
  <c r="O70"/>
  <c r="X70"/>
  <c r="AF70"/>
  <c r="C70"/>
  <c r="J70"/>
  <c r="Q70"/>
  <c r="AA70"/>
  <c r="AG70"/>
  <c r="E70"/>
  <c r="K70"/>
  <c r="AB70"/>
  <c r="AI70"/>
  <c r="AC70"/>
  <c r="F70"/>
  <c r="N70"/>
  <c r="C66"/>
  <c r="G66"/>
  <c r="K66"/>
  <c r="O66"/>
  <c r="Y66"/>
  <c r="AC66"/>
  <c r="F66"/>
  <c r="L66"/>
  <c r="Q66"/>
  <c r="X66"/>
  <c r="AD66"/>
  <c r="AH66"/>
  <c r="E66"/>
  <c r="M66"/>
  <c r="AB66"/>
  <c r="AI66"/>
  <c r="H66"/>
  <c r="P66"/>
  <c r="AA66"/>
  <c r="AJ66"/>
  <c r="I66"/>
  <c r="S66"/>
  <c r="AE66"/>
  <c r="J66"/>
  <c r="AF66"/>
  <c r="D66"/>
  <c r="N66"/>
  <c r="Z66"/>
  <c r="AG66"/>
  <c r="D62"/>
  <c r="H62"/>
  <c r="L62"/>
  <c r="P62"/>
  <c r="Z62"/>
  <c r="AD62"/>
  <c r="AH62"/>
  <c r="E62"/>
  <c r="J62"/>
  <c r="O62"/>
  <c r="AB62"/>
  <c r="AG62"/>
  <c r="I62"/>
  <c r="Q62"/>
  <c r="Y62"/>
  <c r="AF62"/>
  <c r="F62"/>
  <c r="N62"/>
  <c r="AA62"/>
  <c r="AJ62"/>
  <c r="G62"/>
  <c r="AI62"/>
  <c r="K62"/>
  <c r="X62"/>
  <c r="M62"/>
  <c r="AC62"/>
  <c r="C62"/>
  <c r="S62"/>
  <c r="AE62"/>
  <c r="D58"/>
  <c r="H58"/>
  <c r="L58"/>
  <c r="P58"/>
  <c r="Z58"/>
  <c r="AD58"/>
  <c r="AH58"/>
  <c r="C58"/>
  <c r="I58"/>
  <c r="N58"/>
  <c r="AA58"/>
  <c r="AF58"/>
  <c r="F58"/>
  <c r="M58"/>
  <c r="AC58"/>
  <c r="AJ58"/>
  <c r="E58"/>
  <c r="O58"/>
  <c r="Y58"/>
  <c r="AI58"/>
  <c r="K58"/>
  <c r="AB58"/>
  <c r="Q58"/>
  <c r="AE58"/>
  <c r="G58"/>
  <c r="S58"/>
  <c r="AG58"/>
  <c r="J58"/>
  <c r="X58"/>
  <c r="E54"/>
  <c r="I54"/>
  <c r="M54"/>
  <c r="Q54"/>
  <c r="AA54"/>
  <c r="AE54"/>
  <c r="AI54"/>
  <c r="C54"/>
  <c r="H54"/>
  <c r="N54"/>
  <c r="Z54"/>
  <c r="AF54"/>
  <c r="D54"/>
  <c r="K54"/>
  <c r="S54"/>
  <c r="AB54"/>
  <c r="AH54"/>
  <c r="F54"/>
  <c r="O54"/>
  <c r="Y54"/>
  <c r="AJ54"/>
  <c r="G54"/>
  <c r="AG54"/>
  <c r="J54"/>
  <c r="X54"/>
  <c r="L54"/>
  <c r="AC54"/>
  <c r="P54"/>
  <c r="AD54"/>
  <c r="D80"/>
  <c r="H80"/>
  <c r="L80"/>
  <c r="P80"/>
  <c r="Z80"/>
  <c r="AD80"/>
  <c r="AH80"/>
  <c r="G80"/>
  <c r="M80"/>
  <c r="S80"/>
  <c r="Y80"/>
  <c r="AE80"/>
  <c r="AJ80"/>
  <c r="C80"/>
  <c r="I80"/>
  <c r="N80"/>
  <c r="AA80"/>
  <c r="AF80"/>
  <c r="K80"/>
  <c r="X80"/>
  <c r="AI80"/>
  <c r="E80"/>
  <c r="O80"/>
  <c r="AB80"/>
  <c r="Q80"/>
  <c r="F80"/>
  <c r="AC80"/>
  <c r="J80"/>
  <c r="AG80"/>
  <c r="F72"/>
  <c r="J72"/>
  <c r="N72"/>
  <c r="S72"/>
  <c r="X72"/>
  <c r="AB72"/>
  <c r="AF72"/>
  <c r="AJ72"/>
  <c r="E72"/>
  <c r="K72"/>
  <c r="P72"/>
  <c r="AC72"/>
  <c r="AH72"/>
  <c r="G72"/>
  <c r="M72"/>
  <c r="AD72"/>
  <c r="H72"/>
  <c r="O72"/>
  <c r="Y72"/>
  <c r="AE72"/>
  <c r="C72"/>
  <c r="I72"/>
  <c r="L72"/>
  <c r="AA72"/>
  <c r="Q72"/>
  <c r="AG72"/>
  <c r="AI72"/>
  <c r="D72"/>
  <c r="Z72"/>
  <c r="F64"/>
  <c r="J64"/>
  <c r="C64"/>
  <c r="H64"/>
  <c r="M64"/>
  <c r="Q64"/>
  <c r="AA64"/>
  <c r="AE64"/>
  <c r="AI64"/>
  <c r="G64"/>
  <c r="N64"/>
  <c r="Z64"/>
  <c r="AF64"/>
  <c r="E64"/>
  <c r="O64"/>
  <c r="X64"/>
  <c r="AD64"/>
  <c r="D64"/>
  <c r="P64"/>
  <c r="AB64"/>
  <c r="AJ64"/>
  <c r="I64"/>
  <c r="S64"/>
  <c r="AC64"/>
  <c r="K64"/>
  <c r="AG64"/>
  <c r="AH64"/>
  <c r="L64"/>
  <c r="Y64"/>
  <c r="C79"/>
  <c r="G79"/>
  <c r="K79"/>
  <c r="O79"/>
  <c r="Y79"/>
  <c r="D79"/>
  <c r="I79"/>
  <c r="N79"/>
  <c r="AA79"/>
  <c r="AE79"/>
  <c r="AI79"/>
  <c r="J79"/>
  <c r="Q79"/>
  <c r="Z79"/>
  <c r="AF79"/>
  <c r="E79"/>
  <c r="L79"/>
  <c r="S79"/>
  <c r="AB79"/>
  <c r="AG79"/>
  <c r="H79"/>
  <c r="X79"/>
  <c r="AJ79"/>
  <c r="M79"/>
  <c r="AC79"/>
  <c r="AD79"/>
  <c r="F79"/>
  <c r="AH79"/>
  <c r="P79"/>
  <c r="C71"/>
  <c r="G71"/>
  <c r="K71"/>
  <c r="O71"/>
  <c r="Y71"/>
  <c r="AC71"/>
  <c r="AG71"/>
  <c r="F71"/>
  <c r="L71"/>
  <c r="Q71"/>
  <c r="X71"/>
  <c r="AD71"/>
  <c r="AI71"/>
  <c r="D71"/>
  <c r="J71"/>
  <c r="S71"/>
  <c r="AA71"/>
  <c r="AH71"/>
  <c r="E71"/>
  <c r="M71"/>
  <c r="AB71"/>
  <c r="AJ71"/>
  <c r="H71"/>
  <c r="N71"/>
  <c r="AE71"/>
  <c r="P71"/>
  <c r="Z71"/>
  <c r="AF71"/>
  <c r="I71"/>
  <c r="C67"/>
  <c r="G67"/>
  <c r="K67"/>
  <c r="O67"/>
  <c r="Y67"/>
  <c r="AC67"/>
  <c r="AG67"/>
  <c r="E67"/>
  <c r="J67"/>
  <c r="P67"/>
  <c r="AB67"/>
  <c r="AH67"/>
  <c r="H67"/>
  <c r="N67"/>
  <c r="X67"/>
  <c r="AE67"/>
  <c r="I67"/>
  <c r="Q67"/>
  <c r="Z67"/>
  <c r="AF67"/>
  <c r="D67"/>
  <c r="L67"/>
  <c r="S67"/>
  <c r="AA67"/>
  <c r="AI67"/>
  <c r="F67"/>
  <c r="AJ67"/>
  <c r="M67"/>
  <c r="AD67"/>
  <c r="C63"/>
  <c r="G63"/>
  <c r="K63"/>
  <c r="O63"/>
  <c r="Y63"/>
  <c r="AC63"/>
  <c r="AG63"/>
  <c r="D63"/>
  <c r="I63"/>
  <c r="N63"/>
  <c r="AA63"/>
  <c r="AF63"/>
  <c r="E63"/>
  <c r="L63"/>
  <c r="S63"/>
  <c r="AB63"/>
  <c r="AI63"/>
  <c r="J63"/>
  <c r="AE63"/>
  <c r="M63"/>
  <c r="Z63"/>
  <c r="P63"/>
  <c r="AD63"/>
  <c r="F63"/>
  <c r="Q63"/>
  <c r="AH63"/>
  <c r="X63"/>
  <c r="AJ63"/>
  <c r="H63"/>
  <c r="C81"/>
  <c r="G81"/>
  <c r="K81"/>
  <c r="O81"/>
  <c r="Y81"/>
  <c r="AC81"/>
  <c r="AG81"/>
  <c r="F81"/>
  <c r="L81"/>
  <c r="Q81"/>
  <c r="X81"/>
  <c r="AD81"/>
  <c r="AI81"/>
  <c r="H81"/>
  <c r="M81"/>
  <c r="S81"/>
  <c r="Z81"/>
  <c r="AE81"/>
  <c r="AJ81"/>
  <c r="J81"/>
  <c r="AH81"/>
  <c r="D81"/>
  <c r="N81"/>
  <c r="AA81"/>
  <c r="E81"/>
  <c r="AB81"/>
  <c r="I81"/>
  <c r="AF81"/>
  <c r="P81"/>
  <c r="E77"/>
  <c r="I77"/>
  <c r="M77"/>
  <c r="Q77"/>
  <c r="AA77"/>
  <c r="AE77"/>
  <c r="AI77"/>
  <c r="F77"/>
  <c r="K77"/>
  <c r="P77"/>
  <c r="X77"/>
  <c r="AC77"/>
  <c r="AH77"/>
  <c r="D77"/>
  <c r="L77"/>
  <c r="AB77"/>
  <c r="AJ77"/>
  <c r="G77"/>
  <c r="N77"/>
  <c r="AD77"/>
  <c r="C77"/>
  <c r="S77"/>
  <c r="AG77"/>
  <c r="H77"/>
  <c r="Y77"/>
  <c r="J77"/>
  <c r="O77"/>
  <c r="Z77"/>
  <c r="AF77"/>
  <c r="E73"/>
  <c r="I73"/>
  <c r="M73"/>
  <c r="Q73"/>
  <c r="AA73"/>
  <c r="AE73"/>
  <c r="AI73"/>
  <c r="D73"/>
  <c r="J73"/>
  <c r="O73"/>
  <c r="AB73"/>
  <c r="AG73"/>
  <c r="H73"/>
  <c r="P73"/>
  <c r="Y73"/>
  <c r="AF73"/>
  <c r="C73"/>
  <c r="K73"/>
  <c r="S73"/>
  <c r="Z73"/>
  <c r="AH73"/>
  <c r="G73"/>
  <c r="X73"/>
  <c r="L73"/>
  <c r="AC73"/>
  <c r="AD73"/>
  <c r="F73"/>
  <c r="AJ73"/>
  <c r="N73"/>
  <c r="E69"/>
  <c r="I69"/>
  <c r="M69"/>
  <c r="Q69"/>
  <c r="AA69"/>
  <c r="AE69"/>
  <c r="AI69"/>
  <c r="C69"/>
  <c r="H69"/>
  <c r="N69"/>
  <c r="Z69"/>
  <c r="AF69"/>
  <c r="F69"/>
  <c r="L69"/>
  <c r="AC69"/>
  <c r="AJ69"/>
  <c r="G69"/>
  <c r="O69"/>
  <c r="X69"/>
  <c r="AD69"/>
  <c r="J69"/>
  <c r="P69"/>
  <c r="Y69"/>
  <c r="AG69"/>
  <c r="AB69"/>
  <c r="D69"/>
  <c r="AH69"/>
  <c r="K69"/>
  <c r="S69"/>
  <c r="D65"/>
  <c r="H65"/>
  <c r="L65"/>
  <c r="P65"/>
  <c r="Z65"/>
  <c r="AD65"/>
  <c r="AH65"/>
  <c r="G65"/>
  <c r="M65"/>
  <c r="S65"/>
  <c r="Y65"/>
  <c r="AE65"/>
  <c r="AJ65"/>
  <c r="C65"/>
  <c r="J65"/>
  <c r="Q65"/>
  <c r="AA65"/>
  <c r="AG65"/>
  <c r="K65"/>
  <c r="AF65"/>
  <c r="E65"/>
  <c r="N65"/>
  <c r="X65"/>
  <c r="AI65"/>
  <c r="F65"/>
  <c r="O65"/>
  <c r="AB65"/>
  <c r="I65"/>
  <c r="AC65"/>
  <c r="E61"/>
  <c r="I61"/>
  <c r="M61"/>
  <c r="Q61"/>
  <c r="AA61"/>
  <c r="AE61"/>
  <c r="AI61"/>
  <c r="F61"/>
  <c r="K61"/>
  <c r="P61"/>
  <c r="X61"/>
  <c r="AC61"/>
  <c r="AH61"/>
  <c r="G61"/>
  <c r="N61"/>
  <c r="AD61"/>
  <c r="J61"/>
  <c r="AF61"/>
  <c r="C61"/>
  <c r="O61"/>
  <c r="AB61"/>
  <c r="D61"/>
  <c r="S61"/>
  <c r="AG61"/>
  <c r="H61"/>
  <c r="Y61"/>
  <c r="AJ61"/>
  <c r="L61"/>
  <c r="Z61"/>
  <c r="E57"/>
  <c r="I57"/>
  <c r="M57"/>
  <c r="Q57"/>
  <c r="AA57"/>
  <c r="AE57"/>
  <c r="AI57"/>
  <c r="D57"/>
  <c r="J57"/>
  <c r="O57"/>
  <c r="AB57"/>
  <c r="AG57"/>
  <c r="C57"/>
  <c r="K57"/>
  <c r="S57"/>
  <c r="Z57"/>
  <c r="AH57"/>
  <c r="H57"/>
  <c r="AD57"/>
  <c r="G57"/>
  <c r="X57"/>
  <c r="AJ57"/>
  <c r="L57"/>
  <c r="Y57"/>
  <c r="N57"/>
  <c r="AC57"/>
  <c r="P57"/>
  <c r="AF57"/>
  <c r="F57"/>
  <c r="S53"/>
  <c r="Q53"/>
  <c r="P53"/>
  <c r="AJ53"/>
  <c r="AF53"/>
  <c r="AB53"/>
  <c r="X53"/>
  <c r="N53"/>
  <c r="J53"/>
  <c r="F53"/>
  <c r="AI53"/>
  <c r="AE53"/>
  <c r="AA53"/>
  <c r="M53"/>
  <c r="I53"/>
  <c r="E53"/>
  <c r="AH53"/>
  <c r="Z53"/>
  <c r="H53"/>
  <c r="AC53"/>
  <c r="AG53"/>
  <c r="Y53"/>
  <c r="O53"/>
  <c r="G53"/>
  <c r="AD53"/>
  <c r="L53"/>
  <c r="K53"/>
  <c r="D53"/>
  <c r="C53"/>
  <c r="T18" i="3" l="1"/>
  <c r="H18"/>
  <c r="F18"/>
  <c r="N18"/>
  <c r="K18"/>
  <c r="D18"/>
  <c r="I18"/>
  <c r="J18" s="1"/>
  <c r="L18"/>
  <c r="L21" s="1"/>
  <c r="C18"/>
  <c r="C21" s="1"/>
  <c r="R18"/>
  <c r="O18"/>
  <c r="V18"/>
  <c r="E18"/>
  <c r="Q18"/>
  <c r="S18"/>
  <c r="K21"/>
  <c r="H21"/>
  <c r="AK83" i="2"/>
  <c r="AL83"/>
  <c r="AM83"/>
  <c r="AN53"/>
  <c r="AN63"/>
  <c r="AN73"/>
  <c r="AN67"/>
  <c r="AN80"/>
  <c r="AN54"/>
  <c r="AN78"/>
  <c r="AN55"/>
  <c r="AN75"/>
  <c r="AN60"/>
  <c r="AN61"/>
  <c r="AN77"/>
  <c r="AN71"/>
  <c r="AN58"/>
  <c r="AN70"/>
  <c r="AN74"/>
  <c r="AN68"/>
  <c r="AN57"/>
  <c r="AN65"/>
  <c r="AN81"/>
  <c r="AN64"/>
  <c r="AN72"/>
  <c r="AN66"/>
  <c r="AN59"/>
  <c r="AN76"/>
  <c r="AN69"/>
  <c r="AN79"/>
  <c r="AN62"/>
  <c r="AN82"/>
  <c r="AN56"/>
  <c r="AA83"/>
  <c r="AD83"/>
  <c r="Z83"/>
  <c r="Y83"/>
  <c r="AC83"/>
  <c r="X83"/>
  <c r="AG83"/>
  <c r="W83"/>
  <c r="AJ83"/>
  <c r="AF83"/>
  <c r="V83"/>
  <c r="AI83"/>
  <c r="AE83"/>
  <c r="AH83"/>
  <c r="AB83"/>
  <c r="J83"/>
  <c r="K83"/>
  <c r="I83"/>
  <c r="M83"/>
  <c r="G83"/>
  <c r="L83"/>
  <c r="H83"/>
  <c r="E83"/>
  <c r="C83"/>
  <c r="G18" i="3" l="1"/>
  <c r="I21"/>
  <c r="M18"/>
  <c r="P18"/>
  <c r="P21" s="1"/>
  <c r="W18"/>
  <c r="Q21"/>
  <c r="U21"/>
  <c r="T21"/>
  <c r="V21"/>
  <c r="G21"/>
  <c r="M21"/>
  <c r="J21"/>
  <c r="S21"/>
  <c r="I84" i="2"/>
  <c r="F21" i="3"/>
  <c r="N21"/>
  <c r="O21"/>
  <c r="G84" i="2"/>
  <c r="K84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C35" s="1"/>
  <c r="B36"/>
  <c r="C36" s="1"/>
  <c r="B37"/>
  <c r="C37" s="1"/>
  <c r="B38"/>
  <c r="C38" s="1"/>
  <c r="B9"/>
  <c r="C33" l="1"/>
  <c r="G33"/>
  <c r="K33"/>
  <c r="O33"/>
  <c r="H33"/>
  <c r="L33"/>
  <c r="P33"/>
  <c r="E33"/>
  <c r="I33"/>
  <c r="M33"/>
  <c r="Q33"/>
  <c r="F33"/>
  <c r="J33"/>
  <c r="N33"/>
  <c r="E34"/>
  <c r="D34"/>
  <c r="C34"/>
  <c r="D36"/>
  <c r="AM36"/>
  <c r="AK36"/>
  <c r="AL36"/>
  <c r="D24"/>
  <c r="AM24"/>
  <c r="AK24"/>
  <c r="AL24"/>
  <c r="D12"/>
  <c r="AM12"/>
  <c r="AK12"/>
  <c r="AL12"/>
  <c r="D9"/>
  <c r="S9"/>
  <c r="AM9"/>
  <c r="AL9"/>
  <c r="AK9"/>
  <c r="D27"/>
  <c r="AL27"/>
  <c r="AM27"/>
  <c r="AK27"/>
  <c r="D23"/>
  <c r="AL23"/>
  <c r="AK23"/>
  <c r="AM23"/>
  <c r="D19"/>
  <c r="AL19"/>
  <c r="AK19"/>
  <c r="AM19"/>
  <c r="D15"/>
  <c r="AL15"/>
  <c r="AM15"/>
  <c r="AK15"/>
  <c r="D11"/>
  <c r="AL11"/>
  <c r="AK11"/>
  <c r="AM11"/>
  <c r="D32"/>
  <c r="AM32"/>
  <c r="AK32"/>
  <c r="AL32"/>
  <c r="D16"/>
  <c r="AM16"/>
  <c r="AL16"/>
  <c r="AK16"/>
  <c r="D35"/>
  <c r="AL35"/>
  <c r="AM35"/>
  <c r="AK35"/>
  <c r="D38"/>
  <c r="AK38"/>
  <c r="AL38"/>
  <c r="AM38"/>
  <c r="AK34"/>
  <c r="AL34"/>
  <c r="AM34"/>
  <c r="D30"/>
  <c r="AK30"/>
  <c r="AM30"/>
  <c r="AL30"/>
  <c r="D26"/>
  <c r="AK26"/>
  <c r="AL26"/>
  <c r="AM26"/>
  <c r="D22"/>
  <c r="AK22"/>
  <c r="AM22"/>
  <c r="AL22"/>
  <c r="D18"/>
  <c r="AK18"/>
  <c r="AL18"/>
  <c r="AM18"/>
  <c r="D14"/>
  <c r="AK14"/>
  <c r="AM14"/>
  <c r="AL14"/>
  <c r="D10"/>
  <c r="AK10"/>
  <c r="AL10"/>
  <c r="AM10"/>
  <c r="D28"/>
  <c r="AM28"/>
  <c r="AK28"/>
  <c r="AL28"/>
  <c r="D20"/>
  <c r="AM20"/>
  <c r="AK20"/>
  <c r="AL20"/>
  <c r="D31"/>
  <c r="AL31"/>
  <c r="AK31"/>
  <c r="AM31"/>
  <c r="D37"/>
  <c r="AL37"/>
  <c r="AM37"/>
  <c r="AK37"/>
  <c r="D33"/>
  <c r="AL33"/>
  <c r="AM33"/>
  <c r="AK33"/>
  <c r="D29"/>
  <c r="AK29"/>
  <c r="AL29"/>
  <c r="AM29"/>
  <c r="D25"/>
  <c r="AL25"/>
  <c r="AM25"/>
  <c r="AK25"/>
  <c r="D21"/>
  <c r="AK21"/>
  <c r="AL21"/>
  <c r="AM21"/>
  <c r="D17"/>
  <c r="AL17"/>
  <c r="AK17"/>
  <c r="AM17"/>
  <c r="D13"/>
  <c r="AM13"/>
  <c r="AK13"/>
  <c r="AL13"/>
  <c r="X34"/>
  <c r="AB34"/>
  <c r="AF34"/>
  <c r="AJ34"/>
  <c r="AA34"/>
  <c r="AG34"/>
  <c r="AC34"/>
  <c r="AH34"/>
  <c r="Y34"/>
  <c r="AI34"/>
  <c r="Z34"/>
  <c r="AD34"/>
  <c r="AE34"/>
  <c r="V34"/>
  <c r="W34"/>
  <c r="U34"/>
  <c r="Z22"/>
  <c r="AD22"/>
  <c r="AH22"/>
  <c r="AA22"/>
  <c r="AF22"/>
  <c r="AB22"/>
  <c r="AG22"/>
  <c r="Y22"/>
  <c r="AJ22"/>
  <c r="AC22"/>
  <c r="AE22"/>
  <c r="AI22"/>
  <c r="X22"/>
  <c r="W22"/>
  <c r="V22"/>
  <c r="U22"/>
  <c r="Y10"/>
  <c r="AC10"/>
  <c r="AG10"/>
  <c r="Z10"/>
  <c r="AD10"/>
  <c r="AH10"/>
  <c r="X10"/>
  <c r="AF10"/>
  <c r="AJ10"/>
  <c r="AA10"/>
  <c r="AI10"/>
  <c r="AB10"/>
  <c r="AE10"/>
  <c r="W10"/>
  <c r="V10"/>
  <c r="U10"/>
  <c r="Y37"/>
  <c r="AC37"/>
  <c r="AG37"/>
  <c r="Z37"/>
  <c r="AD37"/>
  <c r="AH37"/>
  <c r="AA37"/>
  <c r="AI37"/>
  <c r="AB37"/>
  <c r="AJ37"/>
  <c r="AE37"/>
  <c r="AF37"/>
  <c r="X37"/>
  <c r="U37"/>
  <c r="V37"/>
  <c r="W37"/>
  <c r="X29"/>
  <c r="AB29"/>
  <c r="AF29"/>
  <c r="AJ29"/>
  <c r="Y29"/>
  <c r="AD29"/>
  <c r="AI29"/>
  <c r="Z29"/>
  <c r="AE29"/>
  <c r="AA29"/>
  <c r="AC29"/>
  <c r="AG29"/>
  <c r="AH29"/>
  <c r="V29"/>
  <c r="W29"/>
  <c r="U29"/>
  <c r="X25"/>
  <c r="AB25"/>
  <c r="AF25"/>
  <c r="AJ25"/>
  <c r="AA25"/>
  <c r="AG25"/>
  <c r="AC25"/>
  <c r="AH25"/>
  <c r="AD25"/>
  <c r="AE25"/>
  <c r="Y25"/>
  <c r="Z25"/>
  <c r="AI25"/>
  <c r="V25"/>
  <c r="W25"/>
  <c r="U25"/>
  <c r="X21"/>
  <c r="AB21"/>
  <c r="AF21"/>
  <c r="AJ21"/>
  <c r="Y21"/>
  <c r="AD21"/>
  <c r="AI21"/>
  <c r="Z21"/>
  <c r="AE21"/>
  <c r="AC21"/>
  <c r="AG21"/>
  <c r="AH21"/>
  <c r="AA21"/>
  <c r="V21"/>
  <c r="W21"/>
  <c r="U21"/>
  <c r="X17"/>
  <c r="AB17"/>
  <c r="AF17"/>
  <c r="AJ17"/>
  <c r="AA17"/>
  <c r="AG17"/>
  <c r="AC17"/>
  <c r="AH17"/>
  <c r="AE17"/>
  <c r="Y17"/>
  <c r="AI17"/>
  <c r="Z17"/>
  <c r="AD17"/>
  <c r="V17"/>
  <c r="W17"/>
  <c r="U17"/>
  <c r="X13"/>
  <c r="AB13"/>
  <c r="AF13"/>
  <c r="AJ13"/>
  <c r="Y13"/>
  <c r="AD13"/>
  <c r="AI13"/>
  <c r="Z13"/>
  <c r="AE13"/>
  <c r="AH13"/>
  <c r="AA13"/>
  <c r="AC13"/>
  <c r="AG13"/>
  <c r="V13"/>
  <c r="W13"/>
  <c r="U13"/>
  <c r="AA38"/>
  <c r="AE38"/>
  <c r="AI38"/>
  <c r="X38"/>
  <c r="AB38"/>
  <c r="AF38"/>
  <c r="AJ38"/>
  <c r="AC38"/>
  <c r="AD38"/>
  <c r="AG38"/>
  <c r="AH38"/>
  <c r="Y38"/>
  <c r="Z38"/>
  <c r="V38"/>
  <c r="W38"/>
  <c r="U38"/>
  <c r="Z26"/>
  <c r="AD26"/>
  <c r="AH26"/>
  <c r="X26"/>
  <c r="AC26"/>
  <c r="AI26"/>
  <c r="Y26"/>
  <c r="AE26"/>
  <c r="AJ26"/>
  <c r="AA26"/>
  <c r="AB26"/>
  <c r="AF26"/>
  <c r="AG26"/>
  <c r="W26"/>
  <c r="V26"/>
  <c r="U26"/>
  <c r="Z14"/>
  <c r="AD14"/>
  <c r="AH14"/>
  <c r="AA14"/>
  <c r="AF14"/>
  <c r="AB14"/>
  <c r="AG14"/>
  <c r="AE14"/>
  <c r="X14"/>
  <c r="AI14"/>
  <c r="Y14"/>
  <c r="AJ14"/>
  <c r="AC14"/>
  <c r="W14"/>
  <c r="V14"/>
  <c r="U14"/>
  <c r="AA36"/>
  <c r="AE36"/>
  <c r="AI36"/>
  <c r="X36"/>
  <c r="AB36"/>
  <c r="AF36"/>
  <c r="AJ36"/>
  <c r="Y36"/>
  <c r="AG36"/>
  <c r="Z36"/>
  <c r="AH36"/>
  <c r="AC36"/>
  <c r="AD36"/>
  <c r="U36"/>
  <c r="W36"/>
  <c r="V36"/>
  <c r="Z32"/>
  <c r="AD32"/>
  <c r="AH32"/>
  <c r="Y32"/>
  <c r="AE32"/>
  <c r="AJ32"/>
  <c r="AA32"/>
  <c r="AF32"/>
  <c r="AB32"/>
  <c r="AC32"/>
  <c r="AG32"/>
  <c r="AI32"/>
  <c r="X32"/>
  <c r="U32"/>
  <c r="V32"/>
  <c r="W32"/>
  <c r="Z28"/>
  <c r="AD28"/>
  <c r="AH28"/>
  <c r="AB28"/>
  <c r="AG28"/>
  <c r="X28"/>
  <c r="AC28"/>
  <c r="AI28"/>
  <c r="AE28"/>
  <c r="AF28"/>
  <c r="Y28"/>
  <c r="AA28"/>
  <c r="AJ28"/>
  <c r="U28"/>
  <c r="V28"/>
  <c r="W28"/>
  <c r="Z24"/>
  <c r="AD24"/>
  <c r="AH24"/>
  <c r="Y24"/>
  <c r="AE24"/>
  <c r="AJ24"/>
  <c r="AA24"/>
  <c r="AF24"/>
  <c r="AG24"/>
  <c r="X24"/>
  <c r="AI24"/>
  <c r="AB24"/>
  <c r="AC24"/>
  <c r="U24"/>
  <c r="V24"/>
  <c r="W24"/>
  <c r="Z20"/>
  <c r="AD20"/>
  <c r="AH20"/>
  <c r="AB20"/>
  <c r="AG20"/>
  <c r="X20"/>
  <c r="AC20"/>
  <c r="AI20"/>
  <c r="AF20"/>
  <c r="Y20"/>
  <c r="AJ20"/>
  <c r="AA20"/>
  <c r="AE20"/>
  <c r="U20"/>
  <c r="V20"/>
  <c r="W20"/>
  <c r="Z16"/>
  <c r="AD16"/>
  <c r="AH16"/>
  <c r="Y16"/>
  <c r="AE16"/>
  <c r="AJ16"/>
  <c r="AA16"/>
  <c r="AF16"/>
  <c r="X16"/>
  <c r="AI16"/>
  <c r="AB16"/>
  <c r="AC16"/>
  <c r="AG16"/>
  <c r="U16"/>
  <c r="V16"/>
  <c r="W16"/>
  <c r="Z12"/>
  <c r="AD12"/>
  <c r="AH12"/>
  <c r="AB12"/>
  <c r="AG12"/>
  <c r="Y12"/>
  <c r="AE12"/>
  <c r="X12"/>
  <c r="AC12"/>
  <c r="AI12"/>
  <c r="AA12"/>
  <c r="AF12"/>
  <c r="AJ12"/>
  <c r="U12"/>
  <c r="V12"/>
  <c r="W12"/>
  <c r="Z30"/>
  <c r="AD30"/>
  <c r="AH30"/>
  <c r="AA30"/>
  <c r="AF30"/>
  <c r="AB30"/>
  <c r="AG30"/>
  <c r="X30"/>
  <c r="AI30"/>
  <c r="Y30"/>
  <c r="AJ30"/>
  <c r="AC30"/>
  <c r="AE30"/>
  <c r="W30"/>
  <c r="V30"/>
  <c r="U30"/>
  <c r="Z18"/>
  <c r="AD18"/>
  <c r="AH18"/>
  <c r="X18"/>
  <c r="AC18"/>
  <c r="AI18"/>
  <c r="Y18"/>
  <c r="AE18"/>
  <c r="AJ18"/>
  <c r="AB18"/>
  <c r="AF18"/>
  <c r="AG18"/>
  <c r="AA18"/>
  <c r="W18"/>
  <c r="V18"/>
  <c r="U18"/>
  <c r="Y9"/>
  <c r="AC9"/>
  <c r="AG9"/>
  <c r="Z9"/>
  <c r="AD9"/>
  <c r="AH9"/>
  <c r="AE9"/>
  <c r="X9"/>
  <c r="AF9"/>
  <c r="AI9"/>
  <c r="AJ9"/>
  <c r="AA9"/>
  <c r="AB9"/>
  <c r="W9"/>
  <c r="V9"/>
  <c r="U9"/>
  <c r="Z35"/>
  <c r="X35"/>
  <c r="AC35"/>
  <c r="AG35"/>
  <c r="Y35"/>
  <c r="AD35"/>
  <c r="AH35"/>
  <c r="AE35"/>
  <c r="AF35"/>
  <c r="AA35"/>
  <c r="AB35"/>
  <c r="AI35"/>
  <c r="AJ35"/>
  <c r="W35"/>
  <c r="V35"/>
  <c r="U35"/>
  <c r="X31"/>
  <c r="AB31"/>
  <c r="AF31"/>
  <c r="AJ31"/>
  <c r="AC31"/>
  <c r="AH31"/>
  <c r="Y31"/>
  <c r="AD31"/>
  <c r="AI31"/>
  <c r="AE31"/>
  <c r="AG31"/>
  <c r="Z31"/>
  <c r="AA31"/>
  <c r="U31"/>
  <c r="W31"/>
  <c r="V31"/>
  <c r="X27"/>
  <c r="AB27"/>
  <c r="AF27"/>
  <c r="AJ27"/>
  <c r="Z27"/>
  <c r="AE27"/>
  <c r="AA27"/>
  <c r="AG27"/>
  <c r="AH27"/>
  <c r="Y27"/>
  <c r="AI27"/>
  <c r="AC27"/>
  <c r="AD27"/>
  <c r="U27"/>
  <c r="W27"/>
  <c r="V27"/>
  <c r="X23"/>
  <c r="AB23"/>
  <c r="AF23"/>
  <c r="AJ23"/>
  <c r="AC23"/>
  <c r="AH23"/>
  <c r="Y23"/>
  <c r="AD23"/>
  <c r="AI23"/>
  <c r="AG23"/>
  <c r="Z23"/>
  <c r="AA23"/>
  <c r="AE23"/>
  <c r="U23"/>
  <c r="W23"/>
  <c r="V23"/>
  <c r="X19"/>
  <c r="AB19"/>
  <c r="AF19"/>
  <c r="AJ19"/>
  <c r="Z19"/>
  <c r="AE19"/>
  <c r="AA19"/>
  <c r="AG19"/>
  <c r="Y19"/>
  <c r="AI19"/>
  <c r="AC19"/>
  <c r="AD19"/>
  <c r="AH19"/>
  <c r="U19"/>
  <c r="W19"/>
  <c r="V19"/>
  <c r="X15"/>
  <c r="AB15"/>
  <c r="AF15"/>
  <c r="AJ15"/>
  <c r="AC15"/>
  <c r="AH15"/>
  <c r="Y15"/>
  <c r="AD15"/>
  <c r="AI15"/>
  <c r="AA15"/>
  <c r="AE15"/>
  <c r="AG15"/>
  <c r="Z15"/>
  <c r="U15"/>
  <c r="W15"/>
  <c r="V15"/>
  <c r="X11"/>
  <c r="AB11"/>
  <c r="AF11"/>
  <c r="AJ11"/>
  <c r="Z11"/>
  <c r="AE11"/>
  <c r="AC11"/>
  <c r="AH11"/>
  <c r="AA11"/>
  <c r="AG11"/>
  <c r="AI11"/>
  <c r="Y11"/>
  <c r="AD11"/>
  <c r="U11"/>
  <c r="W11"/>
  <c r="V11"/>
  <c r="Z33"/>
  <c r="AD33"/>
  <c r="AH33"/>
  <c r="Y33"/>
  <c r="AC33"/>
  <c r="AG33"/>
  <c r="AA33"/>
  <c r="AE33"/>
  <c r="AI33"/>
  <c r="X33"/>
  <c r="AB33"/>
  <c r="AF33"/>
  <c r="AJ33"/>
  <c r="V33"/>
  <c r="W33"/>
  <c r="U33"/>
  <c r="H27"/>
  <c r="L27"/>
  <c r="P27"/>
  <c r="E27"/>
  <c r="J27"/>
  <c r="O27"/>
  <c r="F27"/>
  <c r="K27"/>
  <c r="Q27"/>
  <c r="I27"/>
  <c r="M27"/>
  <c r="C27"/>
  <c r="N27"/>
  <c r="G27"/>
  <c r="S27"/>
  <c r="H19"/>
  <c r="L19"/>
  <c r="P19"/>
  <c r="G19"/>
  <c r="M19"/>
  <c r="S19"/>
  <c r="C19"/>
  <c r="I19"/>
  <c r="N19"/>
  <c r="J19"/>
  <c r="O19"/>
  <c r="E19"/>
  <c r="Q19"/>
  <c r="F19"/>
  <c r="K19"/>
  <c r="E11"/>
  <c r="I11"/>
  <c r="M11"/>
  <c r="Q11"/>
  <c r="F11"/>
  <c r="K11"/>
  <c r="P11"/>
  <c r="G11"/>
  <c r="L11"/>
  <c r="S11"/>
  <c r="O11"/>
  <c r="H11"/>
  <c r="J11"/>
  <c r="N11"/>
  <c r="C11"/>
  <c r="E26"/>
  <c r="I26"/>
  <c r="M26"/>
  <c r="Q26"/>
  <c r="F26"/>
  <c r="K26"/>
  <c r="P26"/>
  <c r="G26"/>
  <c r="L26"/>
  <c r="S26"/>
  <c r="J26"/>
  <c r="C26"/>
  <c r="N26"/>
  <c r="O26"/>
  <c r="H26"/>
  <c r="E18"/>
  <c r="I18"/>
  <c r="M18"/>
  <c r="Q18"/>
  <c r="C18"/>
  <c r="H18"/>
  <c r="N18"/>
  <c r="J18"/>
  <c r="O18"/>
  <c r="K18"/>
  <c r="F18"/>
  <c r="S18"/>
  <c r="G18"/>
  <c r="L18"/>
  <c r="P18"/>
  <c r="F14"/>
  <c r="J14"/>
  <c r="N14"/>
  <c r="S14"/>
  <c r="C14"/>
  <c r="H14"/>
  <c r="M14"/>
  <c r="I14"/>
  <c r="O14"/>
  <c r="E14"/>
  <c r="P14"/>
  <c r="K14"/>
  <c r="L14"/>
  <c r="Q14"/>
  <c r="G14"/>
  <c r="F10"/>
  <c r="J10"/>
  <c r="N10"/>
  <c r="S10"/>
  <c r="G10"/>
  <c r="L10"/>
  <c r="Q10"/>
  <c r="C10"/>
  <c r="H10"/>
  <c r="M10"/>
  <c r="E10"/>
  <c r="P10"/>
  <c r="I10"/>
  <c r="K10"/>
  <c r="O10"/>
  <c r="P9"/>
  <c r="Q9"/>
  <c r="H23"/>
  <c r="L23"/>
  <c r="P23"/>
  <c r="C23"/>
  <c r="I23"/>
  <c r="N23"/>
  <c r="E23"/>
  <c r="J23"/>
  <c r="O23"/>
  <c r="F23"/>
  <c r="Q23"/>
  <c r="K23"/>
  <c r="M23"/>
  <c r="S23"/>
  <c r="G23"/>
  <c r="F34"/>
  <c r="J34"/>
  <c r="N34"/>
  <c r="S34"/>
  <c r="G34"/>
  <c r="K34"/>
  <c r="O34"/>
  <c r="M34"/>
  <c r="H34"/>
  <c r="P34"/>
  <c r="L34"/>
  <c r="I34"/>
  <c r="Q34"/>
  <c r="E22"/>
  <c r="I22"/>
  <c r="M22"/>
  <c r="Q22"/>
  <c r="J22"/>
  <c r="O22"/>
  <c r="F22"/>
  <c r="K22"/>
  <c r="P22"/>
  <c r="G22"/>
  <c r="S22"/>
  <c r="N22"/>
  <c r="H22"/>
  <c r="C22"/>
  <c r="L22"/>
  <c r="G37"/>
  <c r="K37"/>
  <c r="O37"/>
  <c r="H37"/>
  <c r="L37"/>
  <c r="P37"/>
  <c r="J37"/>
  <c r="S37"/>
  <c r="E37"/>
  <c r="M37"/>
  <c r="Q37"/>
  <c r="I37"/>
  <c r="F37"/>
  <c r="N37"/>
  <c r="S33"/>
  <c r="F29"/>
  <c r="J29"/>
  <c r="N29"/>
  <c r="S29"/>
  <c r="C29"/>
  <c r="H29"/>
  <c r="M29"/>
  <c r="I29"/>
  <c r="O29"/>
  <c r="G29"/>
  <c r="Q29"/>
  <c r="L29"/>
  <c r="K29"/>
  <c r="P29"/>
  <c r="E29"/>
  <c r="F25"/>
  <c r="J25"/>
  <c r="N25"/>
  <c r="S25"/>
  <c r="G25"/>
  <c r="L25"/>
  <c r="Q25"/>
  <c r="C25"/>
  <c r="H25"/>
  <c r="M25"/>
  <c r="K25"/>
  <c r="P25"/>
  <c r="O25"/>
  <c r="E25"/>
  <c r="I25"/>
  <c r="F21"/>
  <c r="J21"/>
  <c r="N21"/>
  <c r="S21"/>
  <c r="E21"/>
  <c r="K21"/>
  <c r="P21"/>
  <c r="G21"/>
  <c r="L21"/>
  <c r="Q21"/>
  <c r="H21"/>
  <c r="M21"/>
  <c r="I21"/>
  <c r="C21"/>
  <c r="O21"/>
  <c r="F17"/>
  <c r="J17"/>
  <c r="N17"/>
  <c r="S17"/>
  <c r="I17"/>
  <c r="O17"/>
  <c r="E17"/>
  <c r="K17"/>
  <c r="P17"/>
  <c r="L17"/>
  <c r="H17"/>
  <c r="M17"/>
  <c r="C17"/>
  <c r="Q17"/>
  <c r="G17"/>
  <c r="C13"/>
  <c r="G13"/>
  <c r="K13"/>
  <c r="O13"/>
  <c r="I13"/>
  <c r="N13"/>
  <c r="E13"/>
  <c r="J13"/>
  <c r="P13"/>
  <c r="F13"/>
  <c r="Q13"/>
  <c r="M13"/>
  <c r="S13"/>
  <c r="H13"/>
  <c r="L13"/>
  <c r="E35"/>
  <c r="I35"/>
  <c r="M35"/>
  <c r="Q35"/>
  <c r="F35"/>
  <c r="J35"/>
  <c r="N35"/>
  <c r="S35"/>
  <c r="L35"/>
  <c r="G35"/>
  <c r="O35"/>
  <c r="K35"/>
  <c r="P35"/>
  <c r="H35"/>
  <c r="H31"/>
  <c r="L31"/>
  <c r="P31"/>
  <c r="F31"/>
  <c r="K31"/>
  <c r="Q31"/>
  <c r="G31"/>
  <c r="M31"/>
  <c r="S31"/>
  <c r="E31"/>
  <c r="O31"/>
  <c r="I31"/>
  <c r="J31"/>
  <c r="C31"/>
  <c r="N31"/>
  <c r="E15"/>
  <c r="I15"/>
  <c r="M15"/>
  <c r="Q15"/>
  <c r="G15"/>
  <c r="L15"/>
  <c r="S15"/>
  <c r="C15"/>
  <c r="H15"/>
  <c r="N15"/>
  <c r="O15"/>
  <c r="F15"/>
  <c r="J15"/>
  <c r="K15"/>
  <c r="P15"/>
  <c r="F38"/>
  <c r="J38"/>
  <c r="N38"/>
  <c r="S38"/>
  <c r="G38"/>
  <c r="K38"/>
  <c r="O38"/>
  <c r="I38"/>
  <c r="Q38"/>
  <c r="L38"/>
  <c r="P38"/>
  <c r="H38"/>
  <c r="E38"/>
  <c r="M38"/>
  <c r="E30"/>
  <c r="I30"/>
  <c r="M30"/>
  <c r="Q30"/>
  <c r="G30"/>
  <c r="L30"/>
  <c r="S30"/>
  <c r="C30"/>
  <c r="H30"/>
  <c r="N30"/>
  <c r="F30"/>
  <c r="P30"/>
  <c r="K30"/>
  <c r="J30"/>
  <c r="O30"/>
  <c r="H36"/>
  <c r="L36"/>
  <c r="P36"/>
  <c r="E36"/>
  <c r="I36"/>
  <c r="M36"/>
  <c r="Q36"/>
  <c r="K36"/>
  <c r="F36"/>
  <c r="N36"/>
  <c r="S36"/>
  <c r="J36"/>
  <c r="O36"/>
  <c r="G36"/>
  <c r="C32"/>
  <c r="G32"/>
  <c r="K32"/>
  <c r="O32"/>
  <c r="E32"/>
  <c r="J32"/>
  <c r="L8" i="3" s="1"/>
  <c r="P32" i="2"/>
  <c r="Q8" i="3" s="1"/>
  <c r="F32" i="2"/>
  <c r="L32"/>
  <c r="Q32"/>
  <c r="R8" i="3" s="1"/>
  <c r="N32" i="2"/>
  <c r="H32"/>
  <c r="S32"/>
  <c r="I32"/>
  <c r="M32"/>
  <c r="C28"/>
  <c r="G28"/>
  <c r="K28"/>
  <c r="O28"/>
  <c r="I28"/>
  <c r="N28"/>
  <c r="E28"/>
  <c r="J28"/>
  <c r="P28"/>
  <c r="H28"/>
  <c r="S28"/>
  <c r="M28"/>
  <c r="L28"/>
  <c r="F28"/>
  <c r="Q28"/>
  <c r="C24"/>
  <c r="G24"/>
  <c r="K24"/>
  <c r="O24"/>
  <c r="H24"/>
  <c r="M24"/>
  <c r="S24"/>
  <c r="I24"/>
  <c r="N24"/>
  <c r="L24"/>
  <c r="E24"/>
  <c r="P24"/>
  <c r="F24"/>
  <c r="Q24"/>
  <c r="J24"/>
  <c r="C20"/>
  <c r="G20"/>
  <c r="K20"/>
  <c r="O20"/>
  <c r="F20"/>
  <c r="L20"/>
  <c r="Q20"/>
  <c r="H20"/>
  <c r="M20"/>
  <c r="S20"/>
  <c r="I20"/>
  <c r="J20"/>
  <c r="N20"/>
  <c r="P20"/>
  <c r="E20"/>
  <c r="C16"/>
  <c r="G16"/>
  <c r="K16"/>
  <c r="O16"/>
  <c r="E16"/>
  <c r="J16"/>
  <c r="P16"/>
  <c r="F16"/>
  <c r="L16"/>
  <c r="Q16"/>
  <c r="M16"/>
  <c r="N16"/>
  <c r="S16"/>
  <c r="H16"/>
  <c r="I16"/>
  <c r="H12"/>
  <c r="L12"/>
  <c r="P12"/>
  <c r="E12"/>
  <c r="J12"/>
  <c r="O12"/>
  <c r="F12"/>
  <c r="K12"/>
  <c r="Q12"/>
  <c r="C12"/>
  <c r="N12"/>
  <c r="G12"/>
  <c r="S12"/>
  <c r="I12"/>
  <c r="M12"/>
  <c r="F9"/>
  <c r="J9"/>
  <c r="N9"/>
  <c r="G9"/>
  <c r="K9"/>
  <c r="O9"/>
  <c r="H9"/>
  <c r="L9"/>
  <c r="E9"/>
  <c r="I9"/>
  <c r="M9"/>
  <c r="C9"/>
  <c r="U83"/>
  <c r="P83"/>
  <c r="F83"/>
  <c r="E84" s="1"/>
  <c r="O83"/>
  <c r="N83"/>
  <c r="Q83"/>
  <c r="D8" i="3" l="1"/>
  <c r="K8"/>
  <c r="M8" s="1"/>
  <c r="C9"/>
  <c r="R9"/>
  <c r="R10" s="1"/>
  <c r="I9"/>
  <c r="L9"/>
  <c r="L10" s="1"/>
  <c r="E8"/>
  <c r="O9"/>
  <c r="E9"/>
  <c r="K9"/>
  <c r="K10" s="1"/>
  <c r="V9"/>
  <c r="D9"/>
  <c r="H9"/>
  <c r="N9"/>
  <c r="C8"/>
  <c r="T8"/>
  <c r="I8"/>
  <c r="I10" s="1"/>
  <c r="F8"/>
  <c r="O8"/>
  <c r="H8"/>
  <c r="N8"/>
  <c r="Q9"/>
  <c r="Q10" s="1"/>
  <c r="S9"/>
  <c r="T9"/>
  <c r="F9"/>
  <c r="G9" s="1"/>
  <c r="U9"/>
  <c r="S8"/>
  <c r="V8"/>
  <c r="J9"/>
  <c r="U8"/>
  <c r="E22"/>
  <c r="AK39" i="2"/>
  <c r="AL39"/>
  <c r="AN24"/>
  <c r="AN20"/>
  <c r="AN28"/>
  <c r="AN16"/>
  <c r="AN32"/>
  <c r="AN14"/>
  <c r="AN13"/>
  <c r="AN17"/>
  <c r="AN21"/>
  <c r="AN25"/>
  <c r="AN29"/>
  <c r="AN37"/>
  <c r="AN22"/>
  <c r="AN34"/>
  <c r="AN33"/>
  <c r="AN35"/>
  <c r="AN9"/>
  <c r="AN18"/>
  <c r="AN30"/>
  <c r="AN12"/>
  <c r="AN36"/>
  <c r="AN26"/>
  <c r="AN38"/>
  <c r="AN11"/>
  <c r="AN15"/>
  <c r="AN19"/>
  <c r="AN23"/>
  <c r="AN27"/>
  <c r="AN31"/>
  <c r="AN10"/>
  <c r="AF39"/>
  <c r="X39"/>
  <c r="AD39"/>
  <c r="AA39"/>
  <c r="AI39"/>
  <c r="AG39"/>
  <c r="AH39"/>
  <c r="AM39"/>
  <c r="AE39"/>
  <c r="AJ39"/>
  <c r="Y39"/>
  <c r="V39"/>
  <c r="W39"/>
  <c r="AB39"/>
  <c r="AC39"/>
  <c r="Z39"/>
  <c r="N84"/>
  <c r="P84"/>
  <c r="E85"/>
  <c r="E39"/>
  <c r="O39"/>
  <c r="F39"/>
  <c r="K39"/>
  <c r="P39"/>
  <c r="I39"/>
  <c r="L39"/>
  <c r="G39"/>
  <c r="J39"/>
  <c r="Q39"/>
  <c r="N39"/>
  <c r="M39"/>
  <c r="H39"/>
  <c r="S39"/>
  <c r="U39"/>
  <c r="C39"/>
  <c r="E21" i="3"/>
  <c r="C10" l="1"/>
  <c r="H10"/>
  <c r="W9"/>
  <c r="G8"/>
  <c r="G10" s="1"/>
  <c r="P9"/>
  <c r="M9"/>
  <c r="M10" s="1"/>
  <c r="J8"/>
  <c r="J10" s="1"/>
  <c r="P8"/>
  <c r="T10"/>
  <c r="V10"/>
  <c r="S10"/>
  <c r="U10"/>
  <c r="W8"/>
  <c r="F10"/>
  <c r="E10"/>
  <c r="N40" i="2"/>
  <c r="E40"/>
  <c r="I40"/>
  <c r="K40"/>
  <c r="G40"/>
  <c r="P40"/>
  <c r="N10" i="3"/>
  <c r="O10"/>
  <c r="Q22"/>
  <c r="P10" l="1"/>
  <c r="E41" i="2"/>
  <c r="S83"/>
  <c r="E11" i="3" l="1"/>
  <c r="Q11"/>
</calcChain>
</file>

<file path=xl/connections.xml><?xml version="1.0" encoding="utf-8"?>
<connections xmlns="http://schemas.openxmlformats.org/spreadsheetml/2006/main">
  <connection id="1" keepAlive="1" name="Requête - بحرا" description="Connexion à la requête « بحرا » dans le classeur." type="5" refreshedVersion="6" background="1" saveData="1">
    <dbPr connection="Provider=Microsoft.Mashup.OleDb.1;Data Source=$Workbook$;Location=بحرا;Extended Properties=&quot;&quot;" command="SELECT * FROM [بحرا]"/>
  </connection>
  <connection id="2" keepAlive="1" name="Requête - برا" description="Connexion à la requête « برا » dans le classeur." type="5" refreshedVersion="6" background="1" saveData="1">
    <dbPr connection="Provider=Microsoft.Mashup.OleDb.1;Data Source=$Workbook$;Location=برا;Extended Properties=&quot;&quot;" command="SELECT * FROM [برا]"/>
  </connection>
</connections>
</file>

<file path=xl/sharedStrings.xml><?xml version="1.0" encoding="utf-8"?>
<sst xmlns="http://schemas.openxmlformats.org/spreadsheetml/2006/main" count="665" uniqueCount="214">
  <si>
    <t>جمازات</t>
  </si>
  <si>
    <t>بوصلة</t>
  </si>
  <si>
    <t>حاويات بنزين</t>
  </si>
  <si>
    <t>هواتف</t>
  </si>
  <si>
    <t>د.التونسي</t>
  </si>
  <si>
    <t>سيارات</t>
  </si>
  <si>
    <t>زورق</t>
  </si>
  <si>
    <t>محرك</t>
  </si>
  <si>
    <t>مركب</t>
  </si>
  <si>
    <t>عناصر سلفية</t>
  </si>
  <si>
    <t>مفتش عنهم في قضايا حق عام</t>
  </si>
  <si>
    <t>العناصر الأمنية المورطة</t>
  </si>
  <si>
    <t>أجانب</t>
  </si>
  <si>
    <t>تونسيين</t>
  </si>
  <si>
    <t>عدد العمليات</t>
  </si>
  <si>
    <t>الأقاليم</t>
  </si>
  <si>
    <t>نابل</t>
  </si>
  <si>
    <t>مدنين</t>
  </si>
  <si>
    <t>قفصة</t>
  </si>
  <si>
    <t>قبلي</t>
  </si>
  <si>
    <t>قابس</t>
  </si>
  <si>
    <t>صفاقس</t>
  </si>
  <si>
    <t>سيدي بوزيد</t>
  </si>
  <si>
    <t>سوسة</t>
  </si>
  <si>
    <t>سليانة</t>
  </si>
  <si>
    <t>زغوان</t>
  </si>
  <si>
    <t>تونس</t>
  </si>
  <si>
    <t>توزر</t>
  </si>
  <si>
    <t>تطاوين</t>
  </si>
  <si>
    <t>بنزرت</t>
  </si>
  <si>
    <t>بن عروس</t>
  </si>
  <si>
    <t>باجة</t>
  </si>
  <si>
    <t>المهدية</t>
  </si>
  <si>
    <t>المنستير</t>
  </si>
  <si>
    <t>الكاف</t>
  </si>
  <si>
    <t>القيروان</t>
  </si>
  <si>
    <t>القصرين</t>
  </si>
  <si>
    <t>الفرق المركزية للأبحاث</t>
  </si>
  <si>
    <t>إقليم الحرس البحري بالوسط</t>
  </si>
  <si>
    <t>إقليم الحرس البحري بالشمال</t>
  </si>
  <si>
    <t>إقليم الحرس البحري بالساحل</t>
  </si>
  <si>
    <t>إقليم الحرس البحري بالجنوب</t>
  </si>
  <si>
    <t>أريانة</t>
  </si>
  <si>
    <t>إدارة حرس المرور</t>
  </si>
  <si>
    <t>إدارة الشؤون العدلية</t>
  </si>
  <si>
    <t>الاقاليم</t>
  </si>
  <si>
    <t>عدد الموقوفين</t>
  </si>
  <si>
    <t>الاطراف الامنية المورطة</t>
  </si>
  <si>
    <t>المفتش عنهم</t>
  </si>
  <si>
    <t>المحجوز</t>
  </si>
  <si>
    <t>معطيات حول منظم العملية</t>
  </si>
  <si>
    <t xml:space="preserve">معطيات حول الأطراف الامنية </t>
  </si>
  <si>
    <t xml:space="preserve">وزارة الداخليـــــــة </t>
  </si>
  <si>
    <t xml:space="preserve">الإدارة العامة للحرس الوطني </t>
  </si>
  <si>
    <t>إدارة عمليات الحرس الوطني</t>
  </si>
  <si>
    <t>المجموع</t>
  </si>
  <si>
    <t>عدد محاولي الاجتياز</t>
  </si>
  <si>
    <t>عدد المفتش عنهم في قضايا حق عام</t>
  </si>
  <si>
    <t>عدد العناصر السلفية</t>
  </si>
  <si>
    <t>عدد الاطراف الامنية المورطة</t>
  </si>
  <si>
    <t>عدد الإيقافات</t>
  </si>
  <si>
    <t>• الحـــدود البحرية:</t>
  </si>
  <si>
    <t>• الحـــدود البرية:</t>
  </si>
  <si>
    <t>عدد القضايا</t>
  </si>
  <si>
    <t>دينار تونسي</t>
  </si>
  <si>
    <t>الأورو</t>
  </si>
  <si>
    <t>الدولار</t>
  </si>
  <si>
    <t>دراجة نارية</t>
  </si>
  <si>
    <t>جندوبة</t>
  </si>
  <si>
    <t>درجات نارية</t>
  </si>
  <si>
    <t>عملة أجنبية</t>
  </si>
  <si>
    <t>عملة اجنبية</t>
  </si>
  <si>
    <t>*******</t>
  </si>
  <si>
    <t>*****</t>
  </si>
  <si>
    <t>******</t>
  </si>
  <si>
    <t>افارقة</t>
  </si>
  <si>
    <t>جنسيات أخرى</t>
  </si>
  <si>
    <t>عدد الموقوفين أجانب</t>
  </si>
  <si>
    <t>عدد الموقوفين تونسيين</t>
  </si>
  <si>
    <t xml:space="preserve">عدد المنظمين </t>
  </si>
  <si>
    <t>عدد الوسطاء</t>
  </si>
  <si>
    <t>أفارقة</t>
  </si>
  <si>
    <t>جنسيات مختلفة</t>
  </si>
  <si>
    <t>منظمين و وسطاء مفتش عنهم</t>
  </si>
  <si>
    <t>عدد المنظمين و الوسطاء مفتش عنهم</t>
  </si>
  <si>
    <t xml:space="preserve"> بنزين</t>
  </si>
  <si>
    <t>لتر بنزين</t>
  </si>
  <si>
    <t>مختلفة</t>
  </si>
  <si>
    <t xml:space="preserve">عدد محاولي الاجتياز </t>
  </si>
  <si>
    <t>رقم الاشعار</t>
  </si>
  <si>
    <t>مكان انطلاق العملية</t>
  </si>
  <si>
    <t>***</t>
  </si>
  <si>
    <t>هواتف جوالة</t>
  </si>
  <si>
    <t>مراكب</t>
  </si>
  <si>
    <t>محركات</t>
  </si>
  <si>
    <t>العناصر السلفية</t>
  </si>
  <si>
    <t>شاحنة</t>
  </si>
  <si>
    <t>المجمع</t>
  </si>
  <si>
    <t>ذكور</t>
  </si>
  <si>
    <t>أنثى</t>
  </si>
  <si>
    <t>الفئة العمرية</t>
  </si>
  <si>
    <t>أقل من 18 سنة</t>
  </si>
  <si>
    <t>بين 18و 40سنة</t>
  </si>
  <si>
    <t>أكثر من40 سنة</t>
  </si>
  <si>
    <t>تونسيين ذكور</t>
  </si>
  <si>
    <t>تونسيين اناث</t>
  </si>
  <si>
    <t>افارقة ذكور</t>
  </si>
  <si>
    <t>افارقة اناث</t>
  </si>
  <si>
    <t>جنسيات أخرى ذكور</t>
  </si>
  <si>
    <t>جنسيات أخرى اناث</t>
  </si>
  <si>
    <t>الموقوفين تونسيين</t>
  </si>
  <si>
    <t>الموقوفين أجانب</t>
  </si>
  <si>
    <t>كاياك</t>
  </si>
  <si>
    <t>ناقلة</t>
  </si>
  <si>
    <t>الإقليم البحري</t>
  </si>
  <si>
    <t>عدد المراكب التي تعرضت للغرق</t>
  </si>
  <si>
    <t>عدد المراكب التي تم التدخل لإنقاذها</t>
  </si>
  <si>
    <t>عدد المجتازين الذين تم إنقاذهم</t>
  </si>
  <si>
    <t>عدد الجثث تم انتشالها</t>
  </si>
  <si>
    <t>جثث مجهولة الهوية</t>
  </si>
  <si>
    <t>إناث</t>
  </si>
  <si>
    <t>المجموع العـــــــــام</t>
  </si>
  <si>
    <t>عدد الاقافات</t>
  </si>
  <si>
    <t>عدد الاشعار</t>
  </si>
  <si>
    <t>علب جعة.</t>
  </si>
  <si>
    <t>قوارير جعة.</t>
  </si>
  <si>
    <t>قوارير مشربات كحولية فاخرة.</t>
  </si>
  <si>
    <t>قوارير كحولية.</t>
  </si>
  <si>
    <t xml:space="preserve"> لتر من المشروبات المسكرة.</t>
  </si>
  <si>
    <t>بندقية صيد</t>
  </si>
  <si>
    <t>مسدس</t>
  </si>
  <si>
    <t>اطلاقات</t>
  </si>
  <si>
    <t>خرطوشة</t>
  </si>
  <si>
    <t>بندقية ضغط هوائي</t>
  </si>
  <si>
    <t>ظروف</t>
  </si>
  <si>
    <t>قوارير خمر</t>
  </si>
  <si>
    <t>نوع القضية</t>
  </si>
  <si>
    <t>الموقوفين</t>
  </si>
  <si>
    <t>قنب هندي</t>
  </si>
  <si>
    <t>أقراص مخدرة</t>
  </si>
  <si>
    <t>كوكايين (غرام)</t>
  </si>
  <si>
    <t>هيروين</t>
  </si>
  <si>
    <t>ماريخوانا</t>
  </si>
  <si>
    <t>اورق لف</t>
  </si>
  <si>
    <t>مكان الضبط</t>
  </si>
  <si>
    <t>استهلاك مخدرات</t>
  </si>
  <si>
    <t>مسك مخدرات بغاية الترويج</t>
  </si>
  <si>
    <t>تهريب المخدرات</t>
  </si>
  <si>
    <t>ترويج مواد سمية</t>
  </si>
  <si>
    <t>استهلاك مخدرات2</t>
  </si>
  <si>
    <t>مسك مخدرات بغاية الترويج3</t>
  </si>
  <si>
    <t>تهريب المخدرات4</t>
  </si>
  <si>
    <t>ترويج مواد سمية2</t>
  </si>
  <si>
    <t>سيجارة محشوة</t>
  </si>
  <si>
    <t>قطعة</t>
  </si>
  <si>
    <t>صفيحة</t>
  </si>
  <si>
    <t>أخرى</t>
  </si>
  <si>
    <t>قرص</t>
  </si>
  <si>
    <t>غرام</t>
  </si>
  <si>
    <t>كمية</t>
  </si>
  <si>
    <t>حقنة</t>
  </si>
  <si>
    <t>حبة</t>
  </si>
  <si>
    <t>نبتة</t>
  </si>
  <si>
    <t>ورقة</t>
  </si>
  <si>
    <t>علبة</t>
  </si>
  <si>
    <t>سيارة</t>
  </si>
  <si>
    <t>هاتف جوال</t>
  </si>
  <si>
    <t>الة حادة</t>
  </si>
  <si>
    <t>غاز مشل للحركة</t>
  </si>
  <si>
    <t>صحن</t>
  </si>
  <si>
    <t>ميزان</t>
  </si>
  <si>
    <t>بطاقة بنكية</t>
  </si>
  <si>
    <t>بطاقة تعرف وطنية</t>
  </si>
  <si>
    <t>علب جعة</t>
  </si>
  <si>
    <t>مختلفة2</t>
  </si>
  <si>
    <t>كوكايين</t>
  </si>
  <si>
    <t>لفافة</t>
  </si>
  <si>
    <t>حبات</t>
  </si>
  <si>
    <t>أوراق لف</t>
  </si>
  <si>
    <t>علبة أوراق لف</t>
  </si>
  <si>
    <t>الضبطيات</t>
  </si>
  <si>
    <t>المحجوز (المبالغ المالية ,الوسائل..)</t>
  </si>
  <si>
    <t xml:space="preserve">كوكايين </t>
  </si>
  <si>
    <t>ماريخوانة</t>
  </si>
  <si>
    <t>محجوزات أخرى</t>
  </si>
  <si>
    <t>غرام ماريخوانا</t>
  </si>
  <si>
    <t>هيروين مختلفة</t>
  </si>
  <si>
    <t>غرام هيروين</t>
  </si>
  <si>
    <t>غرام كوكايين</t>
  </si>
  <si>
    <t>صفيحة أقراص</t>
  </si>
  <si>
    <t>صفيحة قنب هندي</t>
  </si>
  <si>
    <t>قطع</t>
  </si>
  <si>
    <t>كبسولة</t>
  </si>
  <si>
    <t>غرام قنب هندي</t>
  </si>
  <si>
    <t>الأطراف الأمنية المورطة</t>
  </si>
  <si>
    <t>****</t>
  </si>
  <si>
    <t xml:space="preserve">الكشف اليومي في عدد محاولي الاجتياز حسب الولايات ليوم </t>
  </si>
  <si>
    <t xml:space="preserve"> (الحدود البحرية)</t>
  </si>
  <si>
    <t xml:space="preserve"> (الحدود البرية)</t>
  </si>
  <si>
    <t>دولار</t>
  </si>
  <si>
    <t>2026/01/11</t>
  </si>
  <si>
    <r>
      <rPr>
        <b/>
        <sz val="48"/>
        <color theme="4" tint="-0.249977111117893"/>
        <rFont val="Calibri"/>
        <family val="2"/>
        <scheme val="minor"/>
      </rPr>
      <t>بطاقــة</t>
    </r>
    <r>
      <rPr>
        <b/>
        <sz val="24"/>
        <color theme="1"/>
        <rFont val="Calibri"/>
        <family val="2"/>
        <scheme val="minor"/>
      </rPr>
      <t xml:space="preserve">
</t>
    </r>
    <r>
      <rPr>
        <b/>
        <sz val="28"/>
        <color theme="1"/>
        <rFont val="Calibri"/>
        <family val="2"/>
        <scheme val="minor"/>
      </rPr>
      <t>الموضــوع:بشـــــأن التصـــدي لظــــاهـرة الهـجــــرة غـيــر النظامية ليوم 11 جانفي 2026.
-// -
            أتشرف بموافاتكم بأهم ما تم تسجيله بخصوص التصدي لظاهرة الهجرة غير النظامية بمرجع نظر الحرس الوطني</t>
    </r>
  </si>
  <si>
    <t>كشف يومي في حالات غرق مراكب الهجرة غير النظامية و عمليات الإنقاذ ليوم 2026/01/11</t>
  </si>
  <si>
    <t>كشف يومي في قضايـا المخدرات والموقوفين ليوم 2026/01/11</t>
  </si>
  <si>
    <t>منزل النور</t>
  </si>
  <si>
    <t>142/144</t>
  </si>
  <si>
    <t>قلعة سنان</t>
  </si>
  <si>
    <t>عــــد /   3931     /د</t>
  </si>
  <si>
    <t xml:space="preserve">الإدارة العامة للحرس الوطني
إدارة عمليات الحرس الوطني
عـــــــــــ/   3932 /ــــدد
</t>
  </si>
  <si>
    <t>عــــد /  3933  /د</t>
  </si>
  <si>
    <t>العوينة</t>
  </si>
  <si>
    <t>العامرة</t>
  </si>
  <si>
    <t xml:space="preserve">  جرار فلاحي + صهريج مياه</t>
  </si>
  <si>
    <t>حي الشباب</t>
  </si>
</sst>
</file>

<file path=xl/styles.xml><?xml version="1.0" encoding="utf-8"?>
<styleSheet xmlns="http://schemas.openxmlformats.org/spreadsheetml/2006/main">
  <numFmts count="1">
    <numFmt numFmtId="164" formatCode="[&gt;=3000000000000]#&quot; &quot;##&quot; &quot;##&quot; &quot;##&quot; &quot;###&quot; &quot;###&quot; | &quot;##;#&quot; &quot;##&quot; &quot;##&quot; &quot;##&quot; &quot;###&quot; &quot;###"/>
  </numFmts>
  <fonts count="40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u/>
      <sz val="28"/>
      <color theme="4" tint="-0.249977111117893"/>
      <name val="Times New Roman"/>
      <family val="1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Sultan Medium"/>
      <charset val="178"/>
    </font>
    <font>
      <b/>
      <sz val="22"/>
      <name val="Sultan Medium"/>
      <charset val="178"/>
    </font>
    <font>
      <b/>
      <sz val="11"/>
      <color theme="1"/>
      <name val="Calibri"/>
      <family val="2"/>
      <scheme val="minor"/>
    </font>
    <font>
      <b/>
      <sz val="36"/>
      <name val="Calibri"/>
      <family val="2"/>
      <scheme val="minor"/>
    </font>
    <font>
      <b/>
      <sz val="36"/>
      <name val="Sultan bold"/>
      <charset val="178"/>
    </font>
    <font>
      <b/>
      <sz val="26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48"/>
      <color theme="4" tint="-0.249977111117893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u/>
      <sz val="28"/>
      <color theme="4" tint="-0.249977111117893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b/>
      <sz val="20"/>
      <color theme="1" tint="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 style="thick">
        <color indexed="64"/>
      </left>
      <right style="thick">
        <color rgb="FF000000"/>
      </right>
      <top style="thick">
        <color rgb="FF000000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7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11" fillId="2" borderId="10" xfId="0" applyFont="1" applyFill="1" applyBorder="1" applyAlignment="1">
      <alignment horizontal="center" vertical="center" wrapText="1" readingOrder="2"/>
    </xf>
    <xf numFmtId="0" fontId="0" fillId="0" borderId="20" xfId="0" applyBorder="1"/>
    <xf numFmtId="0" fontId="10" fillId="0" borderId="20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 readingOrder="2"/>
    </xf>
    <xf numFmtId="1" fontId="20" fillId="2" borderId="10" xfId="0" applyNumberFormat="1" applyFont="1" applyFill="1" applyBorder="1" applyAlignment="1">
      <alignment horizontal="center" vertical="center" wrapText="1" readingOrder="2"/>
    </xf>
    <xf numFmtId="1" fontId="21" fillId="2" borderId="10" xfId="0" applyNumberFormat="1" applyFont="1" applyFill="1" applyBorder="1" applyAlignment="1">
      <alignment horizontal="center" vertical="center" wrapText="1" readingOrder="2"/>
    </xf>
    <xf numFmtId="0" fontId="22" fillId="2" borderId="10" xfId="0" applyFont="1" applyFill="1" applyBorder="1" applyAlignment="1">
      <alignment horizontal="center" vertical="center" wrapText="1" readingOrder="2"/>
    </xf>
    <xf numFmtId="1" fontId="11" fillId="2" borderId="10" xfId="0" applyNumberFormat="1" applyFont="1" applyFill="1" applyBorder="1" applyAlignment="1">
      <alignment horizontal="center" vertical="center" wrapText="1" readingOrder="2"/>
    </xf>
    <xf numFmtId="1" fontId="20" fillId="2" borderId="1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0" borderId="20" xfId="0" applyBorder="1" applyAlignment="1">
      <alignment wrapText="1"/>
    </xf>
    <xf numFmtId="0" fontId="2" fillId="3" borderId="10" xfId="0" applyFont="1" applyFill="1" applyBorder="1" applyAlignment="1">
      <alignment horizontal="center" vertical="center" wrapText="1" readingOrder="2"/>
    </xf>
    <xf numFmtId="0" fontId="19" fillId="0" borderId="18" xfId="0" applyFont="1" applyBorder="1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25" fillId="5" borderId="27" xfId="0" applyFont="1" applyFill="1" applyBorder="1" applyAlignment="1">
      <alignment horizontal="center" vertical="center" wrapText="1"/>
    </xf>
    <xf numFmtId="0" fontId="25" fillId="5" borderId="28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 applyProtection="1">
      <alignment horizontal="center" vertical="center" wrapText="1" readingOrder="2"/>
      <protection locked="0"/>
    </xf>
    <xf numFmtId="0" fontId="8" fillId="2" borderId="21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 wrapText="1"/>
    </xf>
    <xf numFmtId="0" fontId="18" fillId="0" borderId="0" xfId="0" applyFont="1" applyAlignment="1" applyProtection="1">
      <alignment horizontal="right" readingOrder="2"/>
      <protection locked="0"/>
    </xf>
    <xf numFmtId="0" fontId="4" fillId="0" borderId="0" xfId="0" applyFont="1" applyAlignment="1" applyProtection="1">
      <alignment horizontal="right" readingOrder="2"/>
      <protection locked="0"/>
    </xf>
    <xf numFmtId="0" fontId="8" fillId="2" borderId="10" xfId="0" applyFont="1" applyFill="1" applyBorder="1" applyAlignment="1">
      <alignment horizontal="center" vertical="center" wrapText="1" readingOrder="2"/>
    </xf>
    <xf numFmtId="0" fontId="9" fillId="2" borderId="10" xfId="0" applyFont="1" applyFill="1" applyBorder="1" applyAlignment="1" applyProtection="1">
      <alignment horizontal="center" vertical="center" wrapText="1" readingOrder="2"/>
      <protection locked="0"/>
    </xf>
    <xf numFmtId="0" fontId="25" fillId="5" borderId="38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12" xfId="0" applyBorder="1"/>
    <xf numFmtId="0" fontId="0" fillId="0" borderId="14" xfId="0" applyBorder="1"/>
    <xf numFmtId="0" fontId="27" fillId="4" borderId="0" xfId="0" applyFont="1" applyFill="1" applyAlignment="1">
      <alignment horizontal="center"/>
    </xf>
    <xf numFmtId="0" fontId="5" fillId="0" borderId="0" xfId="0" applyFont="1" applyAlignment="1">
      <alignment wrapText="1"/>
    </xf>
    <xf numFmtId="0" fontId="10" fillId="0" borderId="20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25" fillId="5" borderId="0" xfId="0" applyFont="1" applyFill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 readingOrder="2"/>
    </xf>
    <xf numFmtId="0" fontId="27" fillId="2" borderId="42" xfId="0" applyFont="1" applyFill="1" applyBorder="1" applyAlignment="1">
      <alignment horizontal="center" vertical="center" wrapText="1" readingOrder="2"/>
    </xf>
    <xf numFmtId="0" fontId="3" fillId="2" borderId="10" xfId="0" applyFont="1" applyFill="1" applyBorder="1" applyAlignment="1" applyProtection="1">
      <alignment horizontal="center" vertical="center" wrapText="1" readingOrder="2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1" fontId="22" fillId="2" borderId="10" xfId="0" applyNumberFormat="1" applyFont="1" applyFill="1" applyBorder="1" applyAlignment="1">
      <alignment horizontal="center" vertical="center" wrapText="1" readingOrder="2"/>
    </xf>
    <xf numFmtId="164" fontId="6" fillId="0" borderId="10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readingOrder="1"/>
    </xf>
    <xf numFmtId="0" fontId="0" fillId="0" borderId="0" xfId="0" applyProtection="1">
      <protection hidden="1"/>
    </xf>
    <xf numFmtId="0" fontId="0" fillId="0" borderId="0" xfId="0" applyAlignment="1" applyProtection="1">
      <alignment wrapText="1" readingOrder="2"/>
      <protection hidden="1"/>
    </xf>
    <xf numFmtId="0" fontId="10" fillId="0" borderId="46" xfId="0" applyFont="1" applyBorder="1" applyAlignment="1">
      <alignment horizontal="center"/>
    </xf>
    <xf numFmtId="0" fontId="0" fillId="0" borderId="50" xfId="0" applyBorder="1" applyAlignment="1" applyProtection="1">
      <alignment horizontal="center"/>
      <protection locked="0"/>
    </xf>
    <xf numFmtId="0" fontId="0" fillId="0" borderId="44" xfId="0" applyBorder="1" applyAlignment="1" applyProtection="1">
      <alignment horizontal="center"/>
      <protection locked="0"/>
    </xf>
    <xf numFmtId="0" fontId="0" fillId="0" borderId="47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8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right"/>
      <protection locked="0"/>
    </xf>
    <xf numFmtId="0" fontId="0" fillId="0" borderId="48" xfId="0" applyBorder="1" applyAlignment="1" applyProtection="1">
      <alignment horizontal="right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49" xfId="0" applyBorder="1" applyAlignment="1" applyProtection="1">
      <alignment horizontal="center"/>
      <protection locked="0"/>
    </xf>
    <xf numFmtId="0" fontId="0" fillId="0" borderId="34" xfId="0" applyBorder="1" applyAlignment="1">
      <alignment horizontal="center"/>
    </xf>
    <xf numFmtId="0" fontId="0" fillId="0" borderId="0" xfId="0" applyAlignment="1" applyProtection="1">
      <alignment wrapText="1"/>
      <protection hidden="1"/>
    </xf>
    <xf numFmtId="0" fontId="0" fillId="0" borderId="0" xfId="0" applyAlignment="1" applyProtection="1">
      <alignment horizontal="right" wrapText="1" readingOrder="2"/>
      <protection hidden="1"/>
    </xf>
    <xf numFmtId="0" fontId="0" fillId="0" borderId="5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43" xfId="0" applyBorder="1" applyAlignment="1" applyProtection="1">
      <alignment horizontal="center"/>
      <protection locked="0"/>
    </xf>
    <xf numFmtId="0" fontId="0" fillId="0" borderId="45" xfId="0" applyBorder="1" applyAlignment="1" applyProtection="1">
      <alignment horizontal="center"/>
      <protection locked="0"/>
    </xf>
    <xf numFmtId="0" fontId="0" fillId="0" borderId="54" xfId="0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 applyProtection="1">
      <alignment horizontal="center"/>
      <protection locked="0"/>
    </xf>
    <xf numFmtId="0" fontId="10" fillId="0" borderId="40" xfId="0" applyFont="1" applyBorder="1" applyAlignment="1">
      <alignment horizontal="center"/>
    </xf>
    <xf numFmtId="0" fontId="10" fillId="0" borderId="55" xfId="0" applyFont="1" applyBorder="1" applyAlignment="1">
      <alignment horizontal="center"/>
    </xf>
    <xf numFmtId="0" fontId="2" fillId="4" borderId="0" xfId="0" applyFont="1" applyFill="1" applyAlignment="1">
      <alignment horizontal="center" readingOrder="2"/>
    </xf>
    <xf numFmtId="0" fontId="30" fillId="0" borderId="0" xfId="0" applyFont="1"/>
    <xf numFmtId="0" fontId="0" fillId="0" borderId="0" xfId="0" applyAlignment="1">
      <alignment horizontal="center" readingOrder="2"/>
    </xf>
    <xf numFmtId="0" fontId="0" fillId="0" borderId="0" xfId="0" applyFont="1"/>
    <xf numFmtId="0" fontId="0" fillId="0" borderId="10" xfId="0" applyBorder="1" applyAlignment="1">
      <alignment horizontal="center" vertical="center"/>
    </xf>
    <xf numFmtId="0" fontId="2" fillId="0" borderId="10" xfId="0" applyFont="1" applyBorder="1" applyAlignment="1">
      <alignment horizontal="centerContinuous" vertical="center"/>
    </xf>
    <xf numFmtId="0" fontId="2" fillId="0" borderId="10" xfId="0" applyFont="1" applyBorder="1" applyAlignment="1">
      <alignment horizontal="center" vertical="center"/>
    </xf>
    <xf numFmtId="0" fontId="33" fillId="2" borderId="60" xfId="0" applyFont="1" applyFill="1" applyBorder="1" applyAlignment="1">
      <alignment horizontal="centerContinuous" vertical="center"/>
    </xf>
    <xf numFmtId="0" fontId="33" fillId="2" borderId="60" xfId="0" applyFont="1" applyFill="1" applyBorder="1" applyAlignment="1">
      <alignment horizontal="center" vertical="center"/>
    </xf>
    <xf numFmtId="0" fontId="33" fillId="8" borderId="61" xfId="0" applyFont="1" applyFill="1" applyBorder="1" applyAlignment="1">
      <alignment horizontal="center" vertical="center" wrapText="1"/>
    </xf>
    <xf numFmtId="0" fontId="33" fillId="8" borderId="61" xfId="0" applyFont="1" applyFill="1" applyBorder="1" applyAlignment="1">
      <alignment horizontal="center" vertical="center"/>
    </xf>
    <xf numFmtId="0" fontId="33" fillId="8" borderId="62" xfId="0" applyFont="1" applyFill="1" applyBorder="1" applyAlignment="1">
      <alignment horizontal="center" vertical="center" wrapText="1"/>
    </xf>
    <xf numFmtId="0" fontId="33" fillId="8" borderId="33" xfId="0" applyFont="1" applyFill="1" applyBorder="1" applyAlignment="1">
      <alignment horizontal="center" vertical="center" wrapText="1"/>
    </xf>
    <xf numFmtId="0" fontId="33" fillId="2" borderId="25" xfId="0" applyFont="1" applyFill="1" applyBorder="1" applyAlignment="1">
      <alignment horizontal="centerContinuous" vertical="center"/>
    </xf>
    <xf numFmtId="0" fontId="33" fillId="8" borderId="0" xfId="0" applyFont="1" applyFill="1" applyBorder="1" applyAlignment="1">
      <alignment horizontal="center" vertical="center" wrapText="1"/>
    </xf>
    <xf numFmtId="0" fontId="6" fillId="0" borderId="2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Protection="1"/>
    <xf numFmtId="0" fontId="7" fillId="0" borderId="10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31" fillId="7" borderId="10" xfId="0" applyFont="1" applyFill="1" applyBorder="1" applyAlignment="1" applyProtection="1">
      <alignment horizontal="center" vertical="center" wrapText="1"/>
      <protection locked="0"/>
    </xf>
    <xf numFmtId="0" fontId="31" fillId="7" borderId="17" xfId="0" applyFont="1" applyFill="1" applyBorder="1" applyAlignment="1" applyProtection="1">
      <alignment horizontal="center" vertical="center" wrapText="1"/>
      <protection locked="0"/>
    </xf>
    <xf numFmtId="0" fontId="31" fillId="7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0" fontId="13" fillId="2" borderId="4" xfId="0" applyFont="1" applyFill="1" applyBorder="1" applyAlignment="1" applyProtection="1">
      <alignment horizontal="center" vertical="center" readingOrder="2"/>
    </xf>
    <xf numFmtId="0" fontId="23" fillId="0" borderId="10" xfId="0" applyFont="1" applyBorder="1" applyAlignment="1" applyProtection="1">
      <alignment horizontal="center" vertical="center" wrapText="1" readingOrder="2"/>
    </xf>
    <xf numFmtId="0" fontId="35" fillId="0" borderId="10" xfId="0" applyFont="1" applyBorder="1" applyAlignment="1" applyProtection="1">
      <alignment horizontal="center" vertical="center"/>
      <protection locked="0"/>
    </xf>
    <xf numFmtId="0" fontId="35" fillId="0" borderId="0" xfId="0" applyFont="1" applyProtection="1">
      <protection locked="0"/>
    </xf>
    <xf numFmtId="0" fontId="35" fillId="0" borderId="45" xfId="0" applyFont="1" applyBorder="1" applyProtection="1">
      <protection locked="0"/>
    </xf>
    <xf numFmtId="0" fontId="35" fillId="0" borderId="17" xfId="0" applyFont="1" applyBorder="1" applyAlignment="1" applyProtection="1">
      <alignment horizontal="center" vertical="center"/>
      <protection locked="0"/>
    </xf>
    <xf numFmtId="0" fontId="35" fillId="0" borderId="16" xfId="0" applyFont="1" applyBorder="1" applyAlignment="1" applyProtection="1">
      <alignment horizontal="center" vertical="center"/>
      <protection locked="0"/>
    </xf>
    <xf numFmtId="0" fontId="35" fillId="0" borderId="46" xfId="0" applyFont="1" applyBorder="1" applyProtection="1">
      <protection locked="0"/>
    </xf>
    <xf numFmtId="0" fontId="35" fillId="0" borderId="18" xfId="0" applyFont="1" applyBorder="1" applyAlignment="1" applyProtection="1">
      <alignment horizontal="center" vertical="center"/>
      <protection locked="0"/>
    </xf>
    <xf numFmtId="0" fontId="35" fillId="0" borderId="18" xfId="0" applyFont="1" applyBorder="1" applyAlignment="1" applyProtection="1">
      <alignment horizontal="center" vertical="center" wrapText="1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25" fillId="7" borderId="31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Alignment="1" applyProtection="1">
      <alignment horizontal="center" vertical="center"/>
      <protection locked="0"/>
    </xf>
    <xf numFmtId="0" fontId="22" fillId="0" borderId="10" xfId="0" applyFont="1" applyBorder="1" applyAlignment="1" applyProtection="1">
      <alignment horizontal="center" vertical="center" wrapText="1" readingOrder="2"/>
      <protection locked="0"/>
    </xf>
    <xf numFmtId="0" fontId="0" fillId="0" borderId="0" xfId="0" applyFont="1" applyProtection="1">
      <protection hidden="1"/>
    </xf>
    <xf numFmtId="0" fontId="0" fillId="0" borderId="0" xfId="0" applyFont="1" applyAlignment="1" applyProtection="1">
      <alignment horizontal="right" readingOrder="2"/>
      <protection hidden="1"/>
    </xf>
    <xf numFmtId="0" fontId="0" fillId="0" borderId="0" xfId="0" applyFont="1" applyAlignment="1" applyProtection="1">
      <alignment wrapText="1" readingOrder="2"/>
      <protection hidden="1"/>
    </xf>
    <xf numFmtId="0" fontId="0" fillId="0" borderId="0" xfId="0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 wrapText="1" readingOrder="2"/>
      <protection locked="0"/>
    </xf>
    <xf numFmtId="0" fontId="6" fillId="0" borderId="10" xfId="0" applyFont="1" applyBorder="1" applyAlignment="1" applyProtection="1">
      <alignment horizontal="center" vertical="center" wrapText="1" readingOrder="2"/>
      <protection locked="0"/>
    </xf>
    <xf numFmtId="0" fontId="3" fillId="2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 readingOrder="2"/>
    </xf>
    <xf numFmtId="0" fontId="36" fillId="0" borderId="0" xfId="0" applyFont="1"/>
    <xf numFmtId="0" fontId="5" fillId="0" borderId="0" xfId="0" applyFont="1" applyAlignment="1" applyProtection="1">
      <alignment wrapText="1"/>
      <protection locked="0"/>
    </xf>
    <xf numFmtId="49" fontId="5" fillId="0" borderId="0" xfId="0" applyNumberFormat="1" applyFont="1" applyAlignment="1" applyProtection="1">
      <alignment wrapText="1"/>
      <protection locked="0"/>
    </xf>
    <xf numFmtId="0" fontId="5" fillId="0" borderId="15" xfId="0" applyFont="1" applyBorder="1" applyAlignment="1" applyProtection="1">
      <alignment wrapText="1"/>
      <protection locked="0"/>
    </xf>
    <xf numFmtId="0" fontId="5" fillId="0" borderId="39" xfId="0" applyFont="1" applyBorder="1" applyAlignment="1" applyProtection="1">
      <alignment wrapText="1"/>
      <protection locked="0"/>
    </xf>
    <xf numFmtId="49" fontId="5" fillId="0" borderId="0" xfId="0" applyNumberFormat="1" applyFont="1" applyAlignment="1" applyProtection="1">
      <alignment horizontal="center" wrapText="1" readingOrder="2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6" fillId="0" borderId="15" xfId="0" applyFont="1" applyBorder="1" applyAlignment="1" applyProtection="1">
      <alignment wrapText="1"/>
      <protection locked="0"/>
    </xf>
    <xf numFmtId="0" fontId="6" fillId="0" borderId="39" xfId="0" applyFont="1" applyBorder="1" applyAlignment="1" applyProtection="1">
      <alignment wrapText="1"/>
      <protection locked="0"/>
    </xf>
    <xf numFmtId="49" fontId="6" fillId="0" borderId="0" xfId="0" applyNumberFormat="1" applyFont="1" applyAlignment="1" applyProtection="1">
      <alignment horizontal="center" wrapText="1" readingOrder="2"/>
      <protection locked="0"/>
    </xf>
    <xf numFmtId="49" fontId="6" fillId="0" borderId="0" xfId="0" applyNumberFormat="1" applyFont="1" applyAlignment="1" applyProtection="1">
      <alignment wrapText="1"/>
      <protection locked="0"/>
    </xf>
    <xf numFmtId="0" fontId="0" fillId="0" borderId="20" xfId="0" applyBorder="1" applyAlignment="1" applyProtection="1">
      <alignment wrapText="1"/>
      <protection locked="0"/>
    </xf>
    <xf numFmtId="0" fontId="0" fillId="9" borderId="20" xfId="0" applyFill="1" applyBorder="1" applyAlignment="1" applyProtection="1">
      <alignment wrapText="1"/>
      <protection locked="0"/>
    </xf>
    <xf numFmtId="0" fontId="5" fillId="0" borderId="0" xfId="0" applyFont="1" applyAlignment="1" applyProtection="1">
      <alignment horizontal="center" wrapText="1" readingOrder="2"/>
      <protection locked="0"/>
    </xf>
    <xf numFmtId="0" fontId="5" fillId="0" borderId="15" xfId="0" applyFont="1" applyBorder="1" applyAlignment="1" applyProtection="1">
      <alignment horizontal="center" wrapText="1" readingOrder="2"/>
      <protection locked="0"/>
    </xf>
    <xf numFmtId="0" fontId="5" fillId="0" borderId="39" xfId="0" applyFont="1" applyBorder="1" applyAlignment="1" applyProtection="1">
      <alignment horizontal="center" wrapText="1" readingOrder="2"/>
      <protection locked="0"/>
    </xf>
    <xf numFmtId="0" fontId="13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 readingOrder="2"/>
    </xf>
    <xf numFmtId="0" fontId="38" fillId="0" borderId="41" xfId="0" applyFont="1" applyBorder="1" applyAlignment="1">
      <alignment horizontal="center"/>
    </xf>
    <xf numFmtId="0" fontId="38" fillId="0" borderId="56" xfId="0" applyFont="1" applyBorder="1" applyAlignment="1">
      <alignment horizontal="center"/>
    </xf>
    <xf numFmtId="0" fontId="38" fillId="0" borderId="57" xfId="0" applyFont="1" applyBorder="1" applyAlignment="1">
      <alignment horizontal="center"/>
    </xf>
    <xf numFmtId="0" fontId="38" fillId="0" borderId="58" xfId="0" applyFont="1" applyBorder="1" applyAlignment="1">
      <alignment horizontal="center"/>
    </xf>
    <xf numFmtId="0" fontId="37" fillId="9" borderId="0" xfId="0" applyFont="1" applyFill="1" applyBorder="1"/>
    <xf numFmtId="0" fontId="37" fillId="9" borderId="0" xfId="0" applyFont="1" applyFill="1" applyBorder="1" applyAlignment="1">
      <alignment wrapText="1"/>
    </xf>
    <xf numFmtId="0" fontId="30" fillId="9" borderId="0" xfId="0" applyFont="1" applyFill="1"/>
    <xf numFmtId="0" fontId="30" fillId="9" borderId="0" xfId="0" applyFont="1" applyFill="1" applyBorder="1"/>
    <xf numFmtId="0" fontId="30" fillId="9" borderId="0" xfId="0" applyFont="1" applyFill="1" applyBorder="1" applyAlignment="1">
      <alignment wrapText="1"/>
    </xf>
    <xf numFmtId="0" fontId="30" fillId="9" borderId="0" xfId="0" applyFont="1" applyFill="1" applyBorder="1" applyAlignment="1">
      <alignment wrapText="1" readingOrder="2"/>
    </xf>
    <xf numFmtId="0" fontId="30" fillId="9" borderId="0" xfId="0" applyNumberFormat="1" applyFont="1" applyFill="1" applyBorder="1" applyAlignment="1">
      <alignment wrapText="1" readingOrder="2"/>
    </xf>
    <xf numFmtId="0" fontId="30" fillId="6" borderId="0" xfId="0" applyFont="1" applyFill="1" applyBorder="1" applyAlignment="1">
      <alignment wrapText="1"/>
    </xf>
    <xf numFmtId="0" fontId="30" fillId="6" borderId="0" xfId="0" applyFont="1" applyFill="1" applyBorder="1"/>
    <xf numFmtId="0" fontId="37" fillId="6" borderId="0" xfId="0" applyFont="1" applyFill="1" applyBorder="1" applyAlignment="1">
      <alignment wrapText="1"/>
    </xf>
    <xf numFmtId="0" fontId="37" fillId="6" borderId="0" xfId="0" applyFont="1" applyFill="1" applyBorder="1" applyAlignment="1">
      <alignment wrapText="1" readingOrder="2"/>
    </xf>
    <xf numFmtId="0" fontId="19" fillId="0" borderId="10" xfId="0" applyFont="1" applyBorder="1" applyAlignment="1">
      <alignment horizontal="center" vertical="center" wrapText="1"/>
    </xf>
    <xf numFmtId="0" fontId="35" fillId="2" borderId="18" xfId="0" applyFont="1" applyFill="1" applyBorder="1" applyAlignment="1" applyProtection="1">
      <alignment horizontal="center" vertical="center"/>
      <protection locked="0"/>
    </xf>
    <xf numFmtId="0" fontId="35" fillId="2" borderId="10" xfId="0" applyFont="1" applyFill="1" applyBorder="1" applyAlignment="1" applyProtection="1">
      <alignment horizontal="center" vertical="center"/>
      <protection locked="0"/>
    </xf>
    <xf numFmtId="0" fontId="35" fillId="2" borderId="17" xfId="0" applyFont="1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wrapText="1"/>
      <protection locked="0"/>
    </xf>
    <xf numFmtId="0" fontId="35" fillId="0" borderId="45" xfId="0" applyFont="1" applyBorder="1" applyAlignment="1" applyProtection="1">
      <alignment wrapText="1"/>
      <protection locked="0"/>
    </xf>
    <xf numFmtId="0" fontId="35" fillId="0" borderId="45" xfId="0" applyFont="1" applyBorder="1" applyAlignment="1" applyProtection="1">
      <alignment wrapText="1" readingOrder="2"/>
      <protection locked="0"/>
    </xf>
    <xf numFmtId="0" fontId="0" fillId="0" borderId="39" xfId="0" applyBorder="1" applyAlignment="1"/>
    <xf numFmtId="0" fontId="5" fillId="4" borderId="0" xfId="0" applyFont="1" applyFill="1" applyAlignment="1">
      <alignment horizontal="center" readingOrder="2"/>
    </xf>
    <xf numFmtId="0" fontId="7" fillId="0" borderId="16" xfId="0" applyFont="1" applyBorder="1" applyAlignment="1" applyProtection="1">
      <alignment horizontal="center" vertical="center" wrapText="1"/>
      <protection locked="0"/>
    </xf>
    <xf numFmtId="0" fontId="35" fillId="10" borderId="20" xfId="0" applyFont="1" applyFill="1" applyBorder="1" applyAlignment="1" applyProtection="1">
      <alignment horizontal="center" vertical="center"/>
      <protection locked="0"/>
    </xf>
    <xf numFmtId="0" fontId="35" fillId="10" borderId="44" xfId="0" applyFont="1" applyFill="1" applyBorder="1" applyAlignment="1" applyProtection="1">
      <alignment horizontal="center" vertical="center"/>
      <protection locked="0"/>
    </xf>
    <xf numFmtId="0" fontId="35" fillId="10" borderId="69" xfId="0" applyFont="1" applyFill="1" applyBorder="1" applyAlignment="1" applyProtection="1">
      <alignment horizontal="center" vertical="center"/>
      <protection locked="0"/>
    </xf>
    <xf numFmtId="0" fontId="35" fillId="10" borderId="70" xfId="0" applyFont="1" applyFill="1" applyBorder="1" applyAlignment="1" applyProtection="1">
      <alignment horizontal="center" vertical="center"/>
      <protection locked="0"/>
    </xf>
    <xf numFmtId="0" fontId="35" fillId="10" borderId="72" xfId="0" applyFont="1" applyFill="1" applyBorder="1" applyAlignment="1" applyProtection="1">
      <alignment horizontal="center" vertical="center"/>
      <protection locked="0"/>
    </xf>
    <xf numFmtId="0" fontId="35" fillId="10" borderId="73" xfId="0" applyFont="1" applyFill="1" applyBorder="1" applyAlignment="1" applyProtection="1">
      <alignment horizontal="center" vertical="center"/>
      <protection locked="0"/>
    </xf>
    <xf numFmtId="0" fontId="35" fillId="0" borderId="17" xfId="0" applyFont="1" applyFill="1" applyBorder="1" applyAlignment="1" applyProtection="1">
      <alignment horizontal="center" vertical="center"/>
      <protection locked="0"/>
    </xf>
    <xf numFmtId="0" fontId="35" fillId="0" borderId="29" xfId="0" applyFont="1" applyFill="1" applyBorder="1" applyAlignment="1" applyProtection="1">
      <alignment horizontal="center" vertical="center"/>
      <protection locked="0"/>
    </xf>
    <xf numFmtId="0" fontId="35" fillId="10" borderId="74" xfId="0" applyFont="1" applyFill="1" applyBorder="1" applyAlignment="1" applyProtection="1">
      <alignment horizontal="center" vertical="center"/>
      <protection locked="0"/>
    </xf>
    <xf numFmtId="0" fontId="35" fillId="10" borderId="75" xfId="0" applyFont="1" applyFill="1" applyBorder="1" applyAlignment="1" applyProtection="1">
      <alignment horizontal="center" vertical="center"/>
      <protection locked="0"/>
    </xf>
    <xf numFmtId="0" fontId="35" fillId="10" borderId="76" xfId="0" applyFont="1" applyFill="1" applyBorder="1" applyAlignment="1" applyProtection="1">
      <alignment horizontal="center" vertical="center"/>
      <protection locked="0"/>
    </xf>
    <xf numFmtId="0" fontId="35" fillId="2" borderId="20" xfId="0" applyFont="1" applyFill="1" applyBorder="1" applyAlignment="1" applyProtection="1">
      <alignment horizontal="center" vertical="center"/>
      <protection locked="0"/>
    </xf>
    <xf numFmtId="0" fontId="35" fillId="2" borderId="50" xfId="0" applyFont="1" applyFill="1" applyBorder="1" applyAlignment="1" applyProtection="1">
      <alignment horizontal="center" vertical="center"/>
      <protection locked="0"/>
    </xf>
    <xf numFmtId="0" fontId="35" fillId="2" borderId="44" xfId="0" applyFont="1" applyFill="1" applyBorder="1" applyAlignment="1" applyProtection="1">
      <alignment horizontal="center" vertical="center"/>
      <protection locked="0"/>
    </xf>
    <xf numFmtId="0" fontId="35" fillId="2" borderId="69" xfId="0" applyFont="1" applyFill="1" applyBorder="1" applyAlignment="1" applyProtection="1">
      <alignment horizontal="center" vertical="center"/>
      <protection locked="0"/>
    </xf>
    <xf numFmtId="0" fontId="35" fillId="2" borderId="51" xfId="0" applyFont="1" applyFill="1" applyBorder="1" applyAlignment="1" applyProtection="1">
      <alignment horizontal="center" vertical="center"/>
      <protection locked="0"/>
    </xf>
    <xf numFmtId="0" fontId="35" fillId="2" borderId="70" xfId="0" applyFont="1" applyFill="1" applyBorder="1" applyAlignment="1" applyProtection="1">
      <alignment horizontal="center" vertical="center"/>
      <protection locked="0"/>
    </xf>
    <xf numFmtId="0" fontId="35" fillId="2" borderId="71" xfId="0" applyFont="1" applyFill="1" applyBorder="1" applyAlignment="1" applyProtection="1">
      <alignment horizontal="center" vertical="center"/>
      <protection locked="0"/>
    </xf>
    <xf numFmtId="0" fontId="35" fillId="2" borderId="72" xfId="0" applyFont="1" applyFill="1" applyBorder="1" applyAlignment="1" applyProtection="1">
      <alignment horizontal="center" vertical="center"/>
      <protection locked="0"/>
    </xf>
    <xf numFmtId="0" fontId="35" fillId="2" borderId="73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19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 applyProtection="1">
      <alignment horizontal="center" vertical="center" wrapText="1" readingOrder="2"/>
      <protection locked="0"/>
    </xf>
    <xf numFmtId="0" fontId="35" fillId="0" borderId="10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 readingOrder="2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39" fillId="9" borderId="20" xfId="0" applyFont="1" applyFill="1" applyBorder="1" applyAlignment="1" applyProtection="1">
      <alignment horizont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wrapText="1"/>
      <protection locked="0"/>
    </xf>
    <xf numFmtId="0" fontId="35" fillId="0" borderId="17" xfId="0" applyFont="1" applyBorder="1" applyAlignment="1" applyProtection="1">
      <alignment horizontal="center" readingOrder="2"/>
      <protection locked="0"/>
    </xf>
    <xf numFmtId="0" fontId="20" fillId="2" borderId="10" xfId="0" applyFont="1" applyFill="1" applyBorder="1" applyAlignment="1" applyProtection="1">
      <alignment horizontal="center" vertical="center" wrapText="1" readingOrder="2"/>
      <protection locked="0"/>
    </xf>
    <xf numFmtId="0" fontId="6" fillId="0" borderId="10" xfId="0" applyFont="1" applyBorder="1" applyAlignment="1" applyProtection="1">
      <alignment horizontal="center" vertical="center" wrapText="1" readingOrder="2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 readingOrder="2"/>
      <protection locked="0"/>
    </xf>
    <xf numFmtId="0" fontId="6" fillId="0" borderId="10" xfId="0" applyFont="1" applyBorder="1" applyAlignment="1" applyProtection="1">
      <alignment horizontal="center" vertical="center" wrapText="1" readingOrder="2"/>
      <protection locked="0"/>
    </xf>
    <xf numFmtId="0" fontId="6" fillId="0" borderId="10" xfId="0" applyFont="1" applyBorder="1" applyAlignment="1" applyProtection="1">
      <alignment horizontal="center" vertical="center" wrapText="1" readingOrder="2"/>
      <protection locked="0"/>
    </xf>
    <xf numFmtId="0" fontId="19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 applyProtection="1">
      <alignment horizontal="center" vertical="center" wrapText="1" readingOrder="2"/>
    </xf>
    <xf numFmtId="0" fontId="6" fillId="0" borderId="10" xfId="0" applyFont="1" applyBorder="1" applyAlignment="1" applyProtection="1">
      <alignment horizontal="center" vertical="center" wrapText="1" readingOrder="2"/>
      <protection locked="0"/>
    </xf>
    <xf numFmtId="0" fontId="6" fillId="0" borderId="10" xfId="0" applyFont="1" applyBorder="1" applyAlignment="1" applyProtection="1">
      <alignment horizontal="center" vertical="center" wrapText="1" readingOrder="2"/>
      <protection locked="0"/>
    </xf>
    <xf numFmtId="0" fontId="0" fillId="0" borderId="14" xfId="0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0" fillId="0" borderId="0" xfId="0" applyAlignment="1" applyProtection="1">
      <alignment horizontal="center"/>
    </xf>
    <xf numFmtId="0" fontId="27" fillId="0" borderId="0" xfId="0" applyFont="1" applyAlignment="1" applyProtection="1">
      <alignment horizontal="center"/>
    </xf>
    <xf numFmtId="0" fontId="0" fillId="0" borderId="0" xfId="0" applyAlignment="1" applyProtection="1">
      <alignment horizontal="center" readingOrder="2"/>
    </xf>
    <xf numFmtId="0" fontId="1" fillId="0" borderId="4" xfId="0" quotePrefix="1" applyFont="1" applyBorder="1" applyAlignment="1" applyProtection="1">
      <alignment horizontal="right" vertical="center" wrapText="1" readingOrder="2"/>
      <protection locked="0"/>
    </xf>
    <xf numFmtId="0" fontId="1" fillId="0" borderId="8" xfId="0" applyFont="1" applyBorder="1" applyAlignment="1" applyProtection="1">
      <alignment horizontal="right" vertical="center" wrapText="1" readingOrder="2"/>
      <protection locked="0"/>
    </xf>
    <xf numFmtId="0" fontId="1" fillId="0" borderId="2" xfId="0" applyFont="1" applyBorder="1" applyAlignment="1" applyProtection="1">
      <alignment horizontal="right" vertical="center" wrapText="1" readingOrder="2"/>
      <protection locked="0"/>
    </xf>
    <xf numFmtId="0" fontId="5" fillId="2" borderId="0" xfId="0" applyFont="1" applyFill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  <protection locked="0"/>
    </xf>
    <xf numFmtId="0" fontId="33" fillId="8" borderId="3" xfId="0" applyFont="1" applyFill="1" applyBorder="1" applyAlignment="1">
      <alignment horizontal="center" vertical="center"/>
    </xf>
    <xf numFmtId="0" fontId="33" fillId="8" borderId="59" xfId="0" applyFont="1" applyFill="1" applyBorder="1" applyAlignment="1">
      <alignment horizontal="center" vertical="center"/>
    </xf>
    <xf numFmtId="0" fontId="33" fillId="8" borderId="5" xfId="0" applyFont="1" applyFill="1" applyBorder="1" applyAlignment="1">
      <alignment horizontal="center" vertical="center"/>
    </xf>
    <xf numFmtId="0" fontId="33" fillId="2" borderId="23" xfId="0" applyFont="1" applyFill="1" applyBorder="1" applyAlignment="1">
      <alignment horizontal="center" vertical="center"/>
    </xf>
    <xf numFmtId="0" fontId="33" fillId="2" borderId="24" xfId="0" applyFont="1" applyFill="1" applyBorder="1" applyAlignment="1">
      <alignment horizontal="center" vertical="center"/>
    </xf>
    <xf numFmtId="0" fontId="33" fillId="2" borderId="25" xfId="0" applyFont="1" applyFill="1" applyBorder="1" applyAlignment="1">
      <alignment horizontal="center" vertical="center"/>
    </xf>
    <xf numFmtId="0" fontId="33" fillId="8" borderId="36" xfId="0" applyFont="1" applyFill="1" applyBorder="1" applyAlignment="1">
      <alignment horizontal="center" vertical="center" wrapText="1"/>
    </xf>
    <xf numFmtId="0" fontId="33" fillId="8" borderId="21" xfId="0" applyFont="1" applyFill="1" applyBorder="1" applyAlignment="1">
      <alignment horizontal="center" vertical="center" wrapText="1"/>
    </xf>
    <xf numFmtId="0" fontId="34" fillId="2" borderId="11" xfId="0" applyFont="1" applyFill="1" applyBorder="1" applyAlignment="1">
      <alignment horizontal="center" vertical="center"/>
    </xf>
    <xf numFmtId="0" fontId="34" fillId="2" borderId="13" xfId="0" applyFont="1" applyFill="1" applyBorder="1" applyAlignment="1">
      <alignment horizontal="center" vertical="center"/>
    </xf>
    <xf numFmtId="0" fontId="34" fillId="2" borderId="14" xfId="0" applyFont="1" applyFill="1" applyBorder="1" applyAlignment="1">
      <alignment horizontal="center" vertical="center"/>
    </xf>
    <xf numFmtId="0" fontId="34" fillId="2" borderId="12" xfId="0" applyFont="1" applyFill="1" applyBorder="1" applyAlignment="1">
      <alignment horizontal="center" vertical="center"/>
    </xf>
    <xf numFmtId="0" fontId="34" fillId="2" borderId="9" xfId="0" applyFont="1" applyFill="1" applyBorder="1" applyAlignment="1">
      <alignment horizontal="center" vertical="center"/>
    </xf>
    <xf numFmtId="0" fontId="34" fillId="2" borderId="6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33" fillId="8" borderId="3" xfId="0" applyFont="1" applyFill="1" applyBorder="1" applyAlignment="1">
      <alignment horizontal="center" vertical="center" wrapText="1"/>
    </xf>
    <xf numFmtId="0" fontId="33" fillId="8" borderId="59" xfId="0" applyFont="1" applyFill="1" applyBorder="1" applyAlignment="1">
      <alignment horizontal="center" vertical="center" wrapText="1"/>
    </xf>
    <xf numFmtId="0" fontId="33" fillId="8" borderId="5" xfId="0" applyFont="1" applyFill="1" applyBorder="1" applyAlignment="1">
      <alignment horizontal="center" vertical="center" wrapText="1"/>
    </xf>
    <xf numFmtId="0" fontId="33" fillId="8" borderId="13" xfId="0" applyFont="1" applyFill="1" applyBorder="1" applyAlignment="1">
      <alignment horizontal="center" vertical="center" wrapText="1"/>
    </xf>
    <xf numFmtId="0" fontId="33" fillId="8" borderId="63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 readingOrder="2"/>
    </xf>
    <xf numFmtId="0" fontId="3" fillId="0" borderId="18" xfId="0" applyFont="1" applyBorder="1" applyAlignment="1">
      <alignment horizontal="center" vertical="center" wrapText="1" readingOrder="2"/>
    </xf>
    <xf numFmtId="0" fontId="16" fillId="0" borderId="0" xfId="0" applyFont="1" applyAlignment="1">
      <alignment horizontal="center" wrapText="1"/>
    </xf>
    <xf numFmtId="0" fontId="28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center" vertical="center" wrapText="1" readingOrder="2"/>
    </xf>
    <xf numFmtId="0" fontId="3" fillId="0" borderId="16" xfId="0" applyFont="1" applyBorder="1" applyAlignment="1">
      <alignment horizontal="center" vertical="center" wrapText="1" readingOrder="2"/>
    </xf>
    <xf numFmtId="0" fontId="3" fillId="0" borderId="32" xfId="0" applyFont="1" applyBorder="1" applyAlignment="1">
      <alignment horizontal="center" vertical="center" wrapText="1" readingOrder="2"/>
    </xf>
    <xf numFmtId="0" fontId="3" fillId="0" borderId="21" xfId="0" applyFont="1" applyBorder="1" applyAlignment="1">
      <alignment horizontal="center" vertical="center" wrapText="1" readingOrder="2"/>
    </xf>
    <xf numFmtId="0" fontId="3" fillId="0" borderId="66" xfId="0" applyFont="1" applyBorder="1" applyAlignment="1">
      <alignment horizontal="center" vertical="center" wrapText="1" readingOrder="2"/>
    </xf>
    <xf numFmtId="0" fontId="3" fillId="0" borderId="67" xfId="0" applyFont="1" applyBorder="1" applyAlignment="1">
      <alignment horizontal="center" vertical="center" wrapText="1" readingOrder="2"/>
    </xf>
    <xf numFmtId="0" fontId="3" fillId="0" borderId="68" xfId="0" applyFont="1" applyBorder="1" applyAlignment="1">
      <alignment horizontal="center" vertical="center" wrapText="1" readingOrder="2"/>
    </xf>
    <xf numFmtId="0" fontId="28" fillId="2" borderId="17" xfId="0" applyFont="1" applyFill="1" applyBorder="1" applyAlignment="1">
      <alignment horizontal="center" vertical="center" wrapText="1" readingOrder="2"/>
    </xf>
    <xf numFmtId="0" fontId="28" fillId="2" borderId="19" xfId="0" applyFont="1" applyFill="1" applyBorder="1" applyAlignment="1">
      <alignment horizontal="center" vertical="center" wrapText="1" readingOrder="2"/>
    </xf>
    <xf numFmtId="0" fontId="28" fillId="2" borderId="18" xfId="0" applyFont="1" applyFill="1" applyBorder="1" applyAlignment="1">
      <alignment horizontal="center" vertical="center" wrapText="1" readingOrder="2"/>
    </xf>
    <xf numFmtId="0" fontId="28" fillId="2" borderId="16" xfId="0" applyFont="1" applyFill="1" applyBorder="1" applyAlignment="1">
      <alignment horizontal="center" vertical="center" wrapText="1"/>
    </xf>
    <xf numFmtId="0" fontId="28" fillId="2" borderId="21" xfId="0" applyFont="1" applyFill="1" applyBorder="1" applyAlignment="1">
      <alignment horizontal="center" vertical="center" wrapText="1"/>
    </xf>
    <xf numFmtId="0" fontId="29" fillId="2" borderId="64" xfId="0" applyFont="1" applyFill="1" applyBorder="1" applyAlignment="1">
      <alignment horizontal="center" vertical="center" wrapText="1" readingOrder="2"/>
    </xf>
    <xf numFmtId="0" fontId="29" fillId="2" borderId="30" xfId="0" applyFont="1" applyFill="1" applyBorder="1" applyAlignment="1">
      <alignment horizontal="center" vertical="center" wrapText="1" readingOrder="2"/>
    </xf>
    <xf numFmtId="0" fontId="29" fillId="2" borderId="31" xfId="0" applyFont="1" applyFill="1" applyBorder="1" applyAlignment="1">
      <alignment horizontal="center" vertical="center" wrapText="1" readingOrder="2"/>
    </xf>
    <xf numFmtId="0" fontId="29" fillId="2" borderId="65" xfId="0" applyFont="1" applyFill="1" applyBorder="1" applyAlignment="1">
      <alignment horizontal="center" vertical="center" wrapText="1" readingOrder="2"/>
    </xf>
    <xf numFmtId="0" fontId="29" fillId="2" borderId="22" xfId="0" applyFont="1" applyFill="1" applyBorder="1" applyAlignment="1">
      <alignment horizontal="center" vertical="center" wrapText="1" readingOrder="2"/>
    </xf>
    <xf numFmtId="0" fontId="29" fillId="2" borderId="26" xfId="0" applyFont="1" applyFill="1" applyBorder="1" applyAlignment="1">
      <alignment horizontal="center" vertical="center" wrapText="1" readingOrder="2"/>
    </xf>
    <xf numFmtId="0" fontId="28" fillId="2" borderId="17" xfId="0" applyFont="1" applyFill="1" applyBorder="1" applyAlignment="1">
      <alignment horizontal="center" vertical="center" wrapText="1"/>
    </xf>
    <xf numFmtId="0" fontId="28" fillId="2" borderId="18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 readingOrder="2"/>
    </xf>
    <xf numFmtId="0" fontId="13" fillId="0" borderId="21" xfId="0" applyFont="1" applyBorder="1" applyAlignment="1">
      <alignment horizontal="center" vertical="center" wrapText="1" readingOrder="2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9" fillId="0" borderId="10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 readingOrder="2"/>
    </xf>
    <xf numFmtId="0" fontId="19" fillId="0" borderId="16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 readingOrder="2"/>
    </xf>
    <xf numFmtId="0" fontId="2" fillId="3" borderId="10" xfId="0" applyFont="1" applyFill="1" applyBorder="1" applyAlignment="1">
      <alignment horizontal="center" vertical="center" wrapText="1" readingOrder="2"/>
    </xf>
    <xf numFmtId="0" fontId="2" fillId="2" borderId="16" xfId="0" applyFont="1" applyFill="1" applyBorder="1" applyAlignment="1">
      <alignment horizontal="center" vertical="center" wrapText="1" readingOrder="2"/>
    </xf>
    <xf numFmtId="0" fontId="2" fillId="2" borderId="21" xfId="0" applyFont="1" applyFill="1" applyBorder="1" applyAlignment="1">
      <alignment horizontal="center" vertical="center" wrapText="1" readingOrder="2"/>
    </xf>
    <xf numFmtId="0" fontId="19" fillId="0" borderId="24" xfId="0" applyFont="1" applyBorder="1" applyAlignment="1">
      <alignment horizontal="center" vertical="center" wrapText="1"/>
    </xf>
    <xf numFmtId="0" fontId="14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right" readingOrder="2"/>
      <protection locked="0"/>
    </xf>
    <xf numFmtId="0" fontId="4" fillId="0" borderId="0" xfId="0" applyFont="1" applyAlignment="1" applyProtection="1">
      <alignment horizontal="right" readingOrder="2"/>
      <protection locked="0"/>
    </xf>
    <xf numFmtId="0" fontId="8" fillId="2" borderId="10" xfId="0" applyFont="1" applyFill="1" applyBorder="1" applyAlignment="1">
      <alignment horizontal="center" vertical="center" wrapText="1" readingOrder="2"/>
    </xf>
    <xf numFmtId="0" fontId="5" fillId="2" borderId="0" xfId="0" applyFont="1" applyFill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left" vertical="center"/>
      <protection locked="0"/>
    </xf>
    <xf numFmtId="49" fontId="28" fillId="0" borderId="0" xfId="0" applyNumberFormat="1" applyFont="1" applyAlignment="1" applyProtection="1">
      <alignment horizontal="right" vertical="center" readingOrder="2"/>
      <protection locked="0"/>
    </xf>
    <xf numFmtId="0" fontId="28" fillId="0" borderId="0" xfId="0" applyFont="1" applyAlignment="1" applyProtection="1">
      <alignment horizontal="right" vertical="center"/>
      <protection locked="0"/>
    </xf>
    <xf numFmtId="0" fontId="9" fillId="2" borderId="16" xfId="0" applyFont="1" applyFill="1" applyBorder="1" applyAlignment="1" applyProtection="1">
      <alignment horizontal="center" vertical="center" wrapText="1" readingOrder="2"/>
      <protection locked="0"/>
    </xf>
    <xf numFmtId="0" fontId="9" fillId="2" borderId="32" xfId="0" applyFont="1" applyFill="1" applyBorder="1" applyAlignment="1" applyProtection="1">
      <alignment horizontal="center" vertical="center" wrapText="1" readingOrder="2"/>
      <protection locked="0"/>
    </xf>
    <xf numFmtId="0" fontId="9" fillId="2" borderId="21" xfId="0" applyFont="1" applyFill="1" applyBorder="1" applyAlignment="1" applyProtection="1">
      <alignment horizontal="center" vertical="center" wrapText="1" readingOrder="2"/>
      <protection locked="0"/>
    </xf>
    <xf numFmtId="0" fontId="11" fillId="2" borderId="10" xfId="0" applyFont="1" applyFill="1" applyBorder="1" applyAlignment="1">
      <alignment horizontal="center" vertical="center" wrapText="1" readingOrder="2"/>
    </xf>
    <xf numFmtId="0" fontId="12" fillId="2" borderId="10" xfId="0" applyFont="1" applyFill="1" applyBorder="1" applyAlignment="1">
      <alignment horizontal="center" vertical="center" wrapText="1" readingOrder="2"/>
    </xf>
    <xf numFmtId="0" fontId="9" fillId="2" borderId="36" xfId="0" applyFont="1" applyFill="1" applyBorder="1" applyAlignment="1" applyProtection="1">
      <alignment horizontal="center" vertical="center" wrapText="1" readingOrder="2"/>
      <protection locked="0"/>
    </xf>
    <xf numFmtId="0" fontId="8" fillId="2" borderId="34" xfId="0" applyFont="1" applyFill="1" applyBorder="1" applyAlignment="1">
      <alignment horizontal="center" vertical="center" wrapText="1" readingOrder="2"/>
    </xf>
    <xf numFmtId="0" fontId="8" fillId="2" borderId="35" xfId="0" applyFont="1" applyFill="1" applyBorder="1" applyAlignment="1">
      <alignment horizontal="center" vertical="center" wrapText="1" readingOrder="2"/>
    </xf>
    <xf numFmtId="0" fontId="8" fillId="2" borderId="1" xfId="0" applyFont="1" applyFill="1" applyBorder="1" applyAlignment="1">
      <alignment horizontal="center" vertical="center" wrapText="1" readingOrder="2"/>
    </xf>
    <xf numFmtId="0" fontId="9" fillId="2" borderId="29" xfId="0" applyFont="1" applyFill="1" applyBorder="1" applyAlignment="1" applyProtection="1">
      <alignment horizontal="center" vertical="center" wrapText="1" readingOrder="2"/>
      <protection locked="0"/>
    </xf>
    <xf numFmtId="0" fontId="9" fillId="2" borderId="30" xfId="0" applyFont="1" applyFill="1" applyBorder="1" applyAlignment="1" applyProtection="1">
      <alignment horizontal="center" vertical="center" wrapText="1" readingOrder="2"/>
      <protection locked="0"/>
    </xf>
    <xf numFmtId="0" fontId="9" fillId="2" borderId="31" xfId="0" applyFont="1" applyFill="1" applyBorder="1" applyAlignment="1" applyProtection="1">
      <alignment horizontal="center" vertical="center" wrapText="1" readingOrder="2"/>
      <protection locked="0"/>
    </xf>
    <xf numFmtId="0" fontId="9" fillId="2" borderId="33" xfId="0" applyFont="1" applyFill="1" applyBorder="1" applyAlignment="1" applyProtection="1">
      <alignment horizontal="center" vertical="center" wrapText="1" readingOrder="2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8" fillId="2" borderId="16" xfId="0" applyFont="1" applyFill="1" applyBorder="1" applyAlignment="1">
      <alignment horizontal="center" vertical="center" wrapText="1" readingOrder="2"/>
    </xf>
    <xf numFmtId="0" fontId="8" fillId="2" borderId="21" xfId="0" applyFont="1" applyFill="1" applyBorder="1" applyAlignment="1">
      <alignment horizontal="center" vertical="center" wrapText="1" readingOrder="2"/>
    </xf>
    <xf numFmtId="0" fontId="9" fillId="2" borderId="10" xfId="0" applyFont="1" applyFill="1" applyBorder="1" applyAlignment="1" applyProtection="1">
      <alignment horizontal="center" vertical="center" wrapText="1" readingOrder="2"/>
      <protection locked="0"/>
    </xf>
    <xf numFmtId="49" fontId="28" fillId="0" borderId="0" xfId="0" applyNumberFormat="1" applyFont="1" applyAlignment="1" applyProtection="1">
      <alignment horizontal="right" vertical="center"/>
      <protection locked="0"/>
    </xf>
    <xf numFmtId="0" fontId="12" fillId="2" borderId="16" xfId="0" applyFont="1" applyFill="1" applyBorder="1" applyAlignment="1">
      <alignment horizontal="center" vertical="center" wrapText="1" readingOrder="2"/>
    </xf>
    <xf numFmtId="0" fontId="12" fillId="2" borderId="32" xfId="0" applyFont="1" applyFill="1" applyBorder="1" applyAlignment="1">
      <alignment horizontal="center" vertical="center" wrapText="1" readingOrder="2"/>
    </xf>
    <xf numFmtId="0" fontId="12" fillId="2" borderId="21" xfId="0" applyFont="1" applyFill="1" applyBorder="1" applyAlignment="1">
      <alignment horizontal="center" vertical="center" wrapText="1" readingOrder="2"/>
    </xf>
    <xf numFmtId="0" fontId="11" fillId="2" borderId="16" xfId="0" applyFont="1" applyFill="1" applyBorder="1" applyAlignment="1">
      <alignment horizontal="center" vertical="center" wrapText="1" readingOrder="2"/>
    </xf>
    <xf numFmtId="0" fontId="11" fillId="2" borderId="32" xfId="0" applyFont="1" applyFill="1" applyBorder="1" applyAlignment="1">
      <alignment horizontal="center" vertical="center" wrapText="1" readingOrder="2"/>
    </xf>
    <xf numFmtId="0" fontId="11" fillId="2" borderId="21" xfId="0" applyFont="1" applyFill="1" applyBorder="1" applyAlignment="1">
      <alignment horizontal="center" vertical="center" wrapText="1" readingOrder="2"/>
    </xf>
    <xf numFmtId="0" fontId="11" fillId="2" borderId="29" xfId="0" applyFont="1" applyFill="1" applyBorder="1" applyAlignment="1">
      <alignment horizontal="center" vertical="center" wrapText="1" readingOrder="2"/>
    </xf>
    <xf numFmtId="0" fontId="11" fillId="2" borderId="31" xfId="0" applyFont="1" applyFill="1" applyBorder="1" applyAlignment="1">
      <alignment horizontal="center" vertical="center" wrapText="1" readingOrder="2"/>
    </xf>
    <xf numFmtId="0" fontId="11" fillId="2" borderId="37" xfId="0" applyFont="1" applyFill="1" applyBorder="1" applyAlignment="1">
      <alignment horizontal="center" vertical="center" wrapText="1" readingOrder="2"/>
    </xf>
    <xf numFmtId="0" fontId="11" fillId="2" borderId="26" xfId="0" applyFont="1" applyFill="1" applyBorder="1" applyAlignment="1">
      <alignment horizontal="center" vertical="center" wrapText="1" readingOrder="2"/>
    </xf>
    <xf numFmtId="0" fontId="1" fillId="2" borderId="0" xfId="0" applyFont="1" applyFill="1" applyAlignment="1" applyProtection="1">
      <alignment horizontal="center"/>
      <protection locked="0"/>
    </xf>
    <xf numFmtId="0" fontId="8" fillId="2" borderId="32" xfId="0" applyFont="1" applyFill="1" applyBorder="1" applyAlignment="1">
      <alignment horizontal="center" vertical="center" wrapText="1" readingOrder="2"/>
    </xf>
    <xf numFmtId="1" fontId="11" fillId="2" borderId="10" xfId="0" applyNumberFormat="1" applyFont="1" applyFill="1" applyBorder="1" applyAlignment="1">
      <alignment horizontal="center" vertical="center" wrapText="1" readingOrder="2"/>
    </xf>
    <xf numFmtId="1" fontId="11" fillId="2" borderId="17" xfId="0" applyNumberFormat="1" applyFont="1" applyFill="1" applyBorder="1" applyAlignment="1">
      <alignment horizontal="center" vertical="center" wrapText="1" readingOrder="2"/>
    </xf>
    <xf numFmtId="1" fontId="11" fillId="2" borderId="19" xfId="0" applyNumberFormat="1" applyFont="1" applyFill="1" applyBorder="1" applyAlignment="1">
      <alignment horizontal="center" vertical="center" wrapText="1" readingOrder="2"/>
    </xf>
    <xf numFmtId="1" fontId="11" fillId="2" borderId="18" xfId="0" applyNumberFormat="1" applyFont="1" applyFill="1" applyBorder="1" applyAlignment="1">
      <alignment horizontal="center" vertical="center" wrapText="1" readingOrder="2"/>
    </xf>
    <xf numFmtId="1" fontId="11" fillId="2" borderId="29" xfId="0" applyNumberFormat="1" applyFont="1" applyFill="1" applyBorder="1" applyAlignment="1">
      <alignment horizontal="center" vertical="center" wrapText="1" readingOrder="2"/>
    </xf>
    <xf numFmtId="1" fontId="11" fillId="2" borderId="30" xfId="0" applyNumberFormat="1" applyFont="1" applyFill="1" applyBorder="1" applyAlignment="1">
      <alignment horizontal="center" vertical="center" wrapText="1" readingOrder="2"/>
    </xf>
    <xf numFmtId="1" fontId="11" fillId="2" borderId="31" xfId="0" applyNumberFormat="1" applyFont="1" applyFill="1" applyBorder="1" applyAlignment="1">
      <alignment horizontal="center" vertical="center" wrapText="1" readingOrder="2"/>
    </xf>
    <xf numFmtId="1" fontId="11" fillId="2" borderId="37" xfId="0" applyNumberFormat="1" applyFont="1" applyFill="1" applyBorder="1" applyAlignment="1">
      <alignment horizontal="center" vertical="center" wrapText="1" readingOrder="2"/>
    </xf>
    <xf numFmtId="1" fontId="11" fillId="2" borderId="22" xfId="0" applyNumberFormat="1" applyFont="1" applyFill="1" applyBorder="1" applyAlignment="1">
      <alignment horizontal="center" vertical="center" wrapText="1" readingOrder="2"/>
    </xf>
    <xf numFmtId="1" fontId="11" fillId="2" borderId="26" xfId="0" applyNumberFormat="1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151"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30" formatCode="@"/>
      <alignment horizontal="center" vertical="bottom" textRotation="0" wrapText="1" indent="0" relativeIndent="255" justifyLastLine="0" shrinkToFit="0" readingOrder="2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border diagonalUp="0" diagonalDown="0">
        <left/>
        <right style="medium">
          <color indexed="64"/>
        </right>
        <top/>
        <bottom/>
      </border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border diagonalUp="0" diagonalDown="0">
        <left style="medium">
          <color indexed="64"/>
        </left>
        <right/>
        <top/>
        <bottom/>
      </border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border diagonalUp="0" diagonalDown="0">
        <left/>
        <right style="medium">
          <color indexed="64"/>
        </right>
        <top/>
        <bottom/>
      </border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border diagonalUp="0" diagonalDown="0">
        <left style="medium">
          <color indexed="64"/>
        </left>
        <right/>
        <top/>
        <bottom/>
      </border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center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8"/>
        <color theme="1"/>
        <name val="Calibri"/>
        <scheme val="minor"/>
      </font>
      <numFmt numFmtId="0" formatCode="General"/>
      <alignment horizontal="general" vertical="bottom" textRotation="0" wrapText="1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255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30" formatCode="@"/>
      <alignment horizontal="center" vertical="bottom" textRotation="0" wrapText="1" indent="0" relativeIndent="255" justifyLastLine="0" shrinkToFit="0" readingOrder="2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general" vertical="bottom" textRotation="0" wrapText="1" indent="0" relativeIndent="255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alignment vertical="bottom" textRotation="0" wrapText="1" justifyLastLine="0" shrinkToFit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bottom" textRotation="0" wrapText="1" indent="0" relativeIndent="255" justifyLastLine="0" shrinkToFit="0" readingOrder="0"/>
    </dxf>
    <dxf>
      <alignment horizontal="center" vertical="center" textRotation="0" wrapText="1" indent="0" relativeIndent="255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indent="0" relativeIndent="255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indent="0" relativeIndent="255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indent="0" relativeIndent="255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indent="0" relativeIndent="255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center" textRotation="0" wrapText="0" indent="0" relativeIndent="255" justifyLastLine="0" shrinkToFit="0" readingOrder="0"/>
      <border diagonalUp="0" diagonalDown="0" outline="0">
        <left/>
        <right style="thick">
          <color indexed="64"/>
        </right>
        <top style="thick">
          <color indexed="64"/>
        </top>
        <bottom style="thick">
          <color indexed="64"/>
        </bottom>
      </border>
      <protection locked="0" hidden="0"/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alignment horizontal="center" vertical="center" textRotation="0" indent="0" relativeIndent="255" justifyLastLine="0" shrinkToFit="0" readingOrder="0"/>
      <protection locked="0" hidden="0"/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relativeIndent="255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</border>
      <protection locked="0" hidden="0"/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</font>
      <alignment horizontal="center" vertical="bottom" textRotation="0" wrapText="0" indent="0" relativeIndent="255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alignment horizontal="center" vertical="bottom" textRotation="0" wrapText="0" indent="0" relativeIndent="255" justifyLastLine="0" shrinkToFit="0" readingOrder="0"/>
      <protection locked="0" hidden="0"/>
    </dxf>
    <dxf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relativeIndent="255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relativeIndent="255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</font>
      <alignment horizontal="center" vertical="bottom" textRotation="0" wrapText="0" indent="0" relativeIndent="255" justifyLastLine="0" shrinkToFit="0" readingOrder="0"/>
      <border diagonalUp="0" diagonalDown="0" outline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alignment horizontal="center" vertical="bottom" textRotation="0" wrapText="0" indent="0" relativeIndent="255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DonnéesExternes_1" connectionId="2" autoFormatId="16" applyNumberFormats="0" applyBorderFormats="0" applyFontFormats="0" applyPatternFormats="0" applyAlignmentFormats="0" applyWidthHeightFormats="0">
  <queryTableRefresh nextId="100" unboundColumnsRight="3">
    <queryTableFields count="36">
      <queryTableField id="63" name="الأقاليم" tableColumnId="1"/>
      <queryTableField id="89" dataBound="0" tableColumnId="27"/>
      <queryTableField id="64" name="عدد العمليات" tableColumnId="2"/>
      <queryTableField id="65" name="تونسيين" tableColumnId="3"/>
      <queryTableField id="91" dataBound="0" tableColumnId="29"/>
      <queryTableField id="66" name="أجانب" tableColumnId="4"/>
      <queryTableField id="92" dataBound="0" tableColumnId="31"/>
      <queryTableField id="84" dataBound="0" tableColumnId="22"/>
      <queryTableField id="93" dataBound="0" tableColumnId="33"/>
      <queryTableField id="96" dataBound="0" tableColumnId="36"/>
      <queryTableField id="95" dataBound="0" tableColumnId="35"/>
      <queryTableField id="94" dataBound="0" tableColumnId="34"/>
      <queryTableField id="67" name="عدد الموقوفين" tableColumnId="5"/>
      <queryTableField id="85" dataBound="0" tableColumnId="23"/>
      <queryTableField id="68" name="عدد المنظمين والوسطاء" tableColumnId="6"/>
      <queryTableField id="86" dataBound="0" tableColumnId="24"/>
      <queryTableField id="69" name="العناصر الأمنية المورطة" tableColumnId="7"/>
      <queryTableField id="87" dataBound="0" tableColumnId="25"/>
      <queryTableField id="70" name="مفتش عنهم في قضايا حق عام" tableColumnId="8"/>
      <queryTableField id="71" name="عناصر سلفية" tableColumnId="9"/>
      <queryTableField id="72" name="مركب" tableColumnId="10"/>
      <queryTableField id="73" name="محرك" tableColumnId="11"/>
      <queryTableField id="74" name="زورق" tableColumnId="12"/>
      <queryTableField id="75" name="سيارات" tableColumnId="13"/>
      <queryTableField id="90" dataBound="0" tableColumnId="28"/>
      <queryTableField id="76" name="دراجة نارية" tableColumnId="14"/>
      <queryTableField id="77" name="د.التونسي" tableColumnId="15"/>
      <queryTableField id="78" name="الدولار" tableColumnId="16"/>
      <queryTableField id="79" name="الأورو" tableColumnId="17"/>
      <queryTableField id="80" name="هواتف" tableColumnId="18"/>
      <queryTableField id="81" name="حاويات بنزين" tableColumnId="19"/>
      <queryTableField id="82" name="بوصلة" tableColumnId="20"/>
      <queryTableField id="83" name="جمازات" tableColumnId="21"/>
      <queryTableField id="99" dataBound="0" tableColumnId="32"/>
      <queryTableField id="98" dataBound="0" tableColumnId="30"/>
      <queryTableField id="88" dataBound="0" tableColumnId="26"/>
    </queryTableFields>
  </queryTableRefresh>
</queryTable>
</file>

<file path=xl/queryTables/queryTable2.xml><?xml version="1.0" encoding="utf-8"?>
<queryTable xmlns="http://schemas.openxmlformats.org/spreadsheetml/2006/main" name="DonnéesExternes_1" connectionId="1" autoFormatId="16" applyNumberFormats="0" applyBorderFormats="0" applyFontFormats="0" applyPatternFormats="0" applyAlignmentFormats="0" applyWidthHeightFormats="0">
  <queryTableRefresh nextId="79" unboundColumnsRight="3">
    <queryTableFields count="36">
      <queryTableField id="43" name="الأقاليم" tableColumnId="1"/>
      <queryTableField id="69" dataBound="0" tableColumnId="27"/>
      <queryTableField id="44" name="عدد العمليات" tableColumnId="2"/>
      <queryTableField id="45" name="تونسيين" tableColumnId="3"/>
      <queryTableField id="76" dataBound="0" tableColumnId="34"/>
      <queryTableField id="75" dataBound="0" tableColumnId="33"/>
      <queryTableField id="74" dataBound="0" tableColumnId="32"/>
      <queryTableField id="73" dataBound="0" tableColumnId="31"/>
      <queryTableField id="72" dataBound="0" tableColumnId="30"/>
      <queryTableField id="71" dataBound="0" tableColumnId="29"/>
      <queryTableField id="46" name="أجانب" tableColumnId="4"/>
      <queryTableField id="64" dataBound="0" tableColumnId="22"/>
      <queryTableField id="47" name="عدد الموقوفين" tableColumnId="5"/>
      <queryTableField id="65" dataBound="0" tableColumnId="23"/>
      <queryTableField id="48" name="عدد المنظمين والوسطاء" tableColumnId="6"/>
      <queryTableField id="66" dataBound="0" tableColumnId="24"/>
      <queryTableField id="49" name="العناصر الأمنية المورطة" tableColumnId="7"/>
      <queryTableField id="67" dataBound="0" tableColumnId="25"/>
      <queryTableField id="50" name="مفتش عنهم في قضايا حق عام" tableColumnId="8"/>
      <queryTableField id="51" name="عناصر سلفية" tableColumnId="9"/>
      <queryTableField id="52" name="مركب" tableColumnId="10"/>
      <queryTableField id="53" name="محرك" tableColumnId="11"/>
      <queryTableField id="54" name="زورق" tableColumnId="12"/>
      <queryTableField id="55" name="سيارات" tableColumnId="13"/>
      <queryTableField id="70" dataBound="0" tableColumnId="28"/>
      <queryTableField id="56" name="دراجة نارية" tableColumnId="14"/>
      <queryTableField id="57" name="د.التونسي" tableColumnId="15"/>
      <queryTableField id="58" name="الدولار" tableColumnId="16"/>
      <queryTableField id="59" name="الأورو" tableColumnId="17"/>
      <queryTableField id="60" name="هواتف" tableColumnId="18"/>
      <queryTableField id="61" name="حاويات بنزين" tableColumnId="19"/>
      <queryTableField id="62" name="بوصلة" tableColumnId="20"/>
      <queryTableField id="63" name="جمازات" tableColumnId="21"/>
      <queryTableField id="78" dataBound="0" tableColumnId="36"/>
      <queryTableField id="77" dataBound="0" tableColumnId="35"/>
      <queryTableField id="68" dataBound="0" tableColumnId="26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4" name="Tableau4" displayName="Tableau4" ref="A1:I31" totalsRowShown="0" headerRowDxfId="150" dataDxfId="149" tableBorderDxfId="148">
  <autoFilter ref="A1:I31"/>
  <tableColumns count="9">
    <tableColumn id="1" name="الأقاليم" dataDxfId="147"/>
    <tableColumn id="2" name="عدد القضايا" dataDxfId="146"/>
    <tableColumn id="3" name="عدد الاقافات" dataDxfId="145"/>
    <tableColumn id="4" name="بندقية صيد" dataDxfId="144"/>
    <tableColumn id="5" name="مسدس" dataDxfId="143"/>
    <tableColumn id="6" name="بندقية ضغط هوائي" dataDxfId="142"/>
    <tableColumn id="7" name="خرطوشة" dataDxfId="141"/>
    <tableColumn id="8" name="اطلاقات" dataDxfId="140"/>
    <tableColumn id="9" name="ظروف" dataDxfId="139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5" name="Tableau5" displayName="Tableau5" ref="A1:I31" totalsRowShown="0" headerRowDxfId="138" dataDxfId="137" tableBorderDxfId="136">
  <autoFilter ref="A1:I31"/>
  <tableColumns count="9">
    <tableColumn id="1" name="الأقاليم" dataDxfId="135"/>
    <tableColumn id="2" name="عدد القضايا" dataDxfId="134"/>
    <tableColumn id="3" name="عدد الاقافات" dataDxfId="133"/>
    <tableColumn id="4" name="علب جعة." dataDxfId="132"/>
    <tableColumn id="5" name="قوارير جعة." dataDxfId="131"/>
    <tableColumn id="6" name="قوارير خمر" dataDxfId="130"/>
    <tableColumn id="7" name="قوارير مشربات كحولية فاخرة." dataDxfId="129"/>
    <tableColumn id="8" name="قوارير كحولية." dataDxfId="128"/>
    <tableColumn id="9" name=" لتر من المشروبات المسكرة." dataDxfId="127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id="6" name="Tableau6" displayName="Tableau6" ref="A2:AT32" totalsRowShown="0" headerRowDxfId="126" dataDxfId="124" headerRowBorderDxfId="125" tableBorderDxfId="123" totalsRowBorderDxfId="122">
  <autoFilter ref="A2:AT32"/>
  <tableColumns count="46">
    <tableColumn id="1" name="الأقاليم" dataDxfId="121"/>
    <tableColumn id="2" name="مكان الضبط" dataDxfId="120"/>
    <tableColumn id="3" name="عدد القضايا" dataDxfId="119"/>
    <tableColumn id="4" name="استهلاك مخدرات" dataDxfId="118"/>
    <tableColumn id="5" name="مسك مخدرات بغاية الترويج" dataDxfId="117"/>
    <tableColumn id="6" name="تهريب المخدرات" dataDxfId="116"/>
    <tableColumn id="7" name="ترويج مواد سمية" dataDxfId="115"/>
    <tableColumn id="8" name="استهلاك مخدرات2" dataDxfId="114"/>
    <tableColumn id="9" name="مسك مخدرات بغاية الترويج3" dataDxfId="113"/>
    <tableColumn id="10" name="تهريب المخدرات4" dataDxfId="112"/>
    <tableColumn id="11" name="ترويج مواد سمية2" dataDxfId="111"/>
    <tableColumn id="12" name="سيجارة محشوة" dataDxfId="110"/>
    <tableColumn id="46" name="غرام قنب هندي" dataDxfId="109"/>
    <tableColumn id="13" name="قطعة" dataDxfId="108"/>
    <tableColumn id="14" name="صفيحة قنب هندي" dataDxfId="107"/>
    <tableColumn id="15" name="كبسولة" dataDxfId="106"/>
    <tableColumn id="16" name="قرص" dataDxfId="105"/>
    <tableColumn id="17" name="صفيحة أقراص" dataDxfId="104"/>
    <tableColumn id="18" name="غرام كوكايين" dataDxfId="103"/>
    <tableColumn id="19" name="لفافة" dataDxfId="102"/>
    <tableColumn id="20" name="كمية" dataDxfId="101"/>
    <tableColumn id="21" name="غرام هيروين" dataDxfId="100"/>
    <tableColumn id="22" name="حقنة" dataDxfId="99"/>
    <tableColumn id="23" name="هيروين مختلفة" dataDxfId="98"/>
    <tableColumn id="24" name="غرام ماريخوانا" dataDxfId="97"/>
    <tableColumn id="25" name="حبة" dataDxfId="96"/>
    <tableColumn id="26" name="نبتة" dataDxfId="95"/>
    <tableColumn id="27" name="مختلفة" dataDxfId="94"/>
    <tableColumn id="28" name="ورقة" dataDxfId="93"/>
    <tableColumn id="29" name="علبة" dataDxfId="92"/>
    <tableColumn id="30" name="سيارة" dataDxfId="91"/>
    <tableColumn id="31" name="شاحنة" dataDxfId="90"/>
    <tableColumn id="32" name="دراجة نارية" dataDxfId="89"/>
    <tableColumn id="33" name="هاتف جوال" dataDxfId="88"/>
    <tableColumn id="34" name="الة حادة" dataDxfId="87"/>
    <tableColumn id="35" name="غاز مشل للحركة" dataDxfId="86"/>
    <tableColumn id="36" name="صحن" dataDxfId="85"/>
    <tableColumn id="37" name="ميزان" dataDxfId="84"/>
    <tableColumn id="38" name="بطاقة بنكية" dataDxfId="83"/>
    <tableColumn id="39" name="بطاقة تعرف وطنية" dataDxfId="82"/>
    <tableColumn id="40" name="علب جعة" dataDxfId="81"/>
    <tableColumn id="41" name="بندقية صيد" dataDxfId="80"/>
    <tableColumn id="42" name="د.التونسي" dataDxfId="79"/>
    <tableColumn id="43" name="الدولار" dataDxfId="78"/>
    <tableColumn id="44" name="الأورو" dataDxfId="77"/>
    <tableColumn id="45" name="محجوزات أخرى" dataDxfId="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برا" displayName="برا" ref="A1:AJ31" tableType="queryTable" totalsRowShown="0" headerRowDxfId="75" dataDxfId="74">
  <autoFilter ref="A1:AJ31"/>
  <tableColumns count="36">
    <tableColumn id="1" uniqueName="1" name="الأقاليم" queryTableFieldId="63" dataDxfId="73"/>
    <tableColumn id="27" uniqueName="27" name="مكان انطلاق العملية" queryTableFieldId="89" dataDxfId="72"/>
    <tableColumn id="2" uniqueName="2" name="عدد العمليات" queryTableFieldId="64" dataDxfId="71"/>
    <tableColumn id="3" uniqueName="3" name="تونسيين ذكور" queryTableFieldId="65" dataDxfId="70"/>
    <tableColumn id="29" uniqueName="29" name="تونسيين اناث" queryTableFieldId="91" dataDxfId="69"/>
    <tableColumn id="4" uniqueName="4" name="افارقة ذكور" queryTableFieldId="66" dataDxfId="68"/>
    <tableColumn id="31" uniqueName="31" name="افارقة اناث" queryTableFieldId="92" dataDxfId="67"/>
    <tableColumn id="22" uniqueName="22" name="جنسيات أخرى ذكور" queryTableFieldId="84" dataDxfId="66"/>
    <tableColumn id="33" uniqueName="33" name="جنسيات أخرى اناث" queryTableFieldId="93" dataDxfId="65"/>
    <tableColumn id="36" uniqueName="36" name="أقل من 18 سنة" queryTableFieldId="96" dataDxfId="64"/>
    <tableColumn id="35" uniqueName="35" name="بين 18و 40سنة" queryTableFieldId="95" dataDxfId="63"/>
    <tableColumn id="34" uniqueName="34" name="أكثر من40 سنة" queryTableFieldId="94" dataDxfId="62"/>
    <tableColumn id="5" uniqueName="5" name="عدد الموقوفين تونسيين" queryTableFieldId="67" dataDxfId="61"/>
    <tableColumn id="23" uniqueName="23" name="عدد الموقوفين أجانب" queryTableFieldId="85" dataDxfId="60"/>
    <tableColumn id="6" uniqueName="6" name="عدد المنظمين " queryTableFieldId="68" dataDxfId="59"/>
    <tableColumn id="24" uniqueName="24" name="عدد الوسطاء" queryTableFieldId="86" dataDxfId="58"/>
    <tableColumn id="7" uniqueName="7" name="العناصر الأمنية المورطة" queryTableFieldId="69" dataDxfId="57"/>
    <tableColumn id="25" uniqueName="25" name="منظمين و وسطاء مفتش عنهم" queryTableFieldId="87" dataDxfId="56"/>
    <tableColumn id="8" uniqueName="8" name="مفتش عنهم في قضايا حق عام" queryTableFieldId="70" dataDxfId="55"/>
    <tableColumn id="9" uniqueName="9" name="عناصر سلفية" queryTableFieldId="71" dataDxfId="54"/>
    <tableColumn id="10" uniqueName="10" name="مركب" queryTableFieldId="72" dataDxfId="53"/>
    <tableColumn id="11" uniqueName="11" name="محرك" queryTableFieldId="73" dataDxfId="52"/>
    <tableColumn id="12" uniqueName="12" name="زورق" queryTableFieldId="74" dataDxfId="51"/>
    <tableColumn id="13" uniqueName="13" name="سيارات" queryTableFieldId="75" dataDxfId="50"/>
    <tableColumn id="28" uniqueName="28" name="شاحنة" queryTableFieldId="90" dataDxfId="49"/>
    <tableColumn id="14" uniqueName="14" name="دراجة نارية" queryTableFieldId="76" dataDxfId="48"/>
    <tableColumn id="15" uniqueName="15" name="د.التونسي" queryTableFieldId="77" dataDxfId="47"/>
    <tableColumn id="16" uniqueName="16" name="الدولار" queryTableFieldId="78" dataDxfId="46"/>
    <tableColumn id="17" uniqueName="17" name="الأورو" queryTableFieldId="79" dataDxfId="45"/>
    <tableColumn id="18" uniqueName="18" name="هواتف" queryTableFieldId="80" dataDxfId="44"/>
    <tableColumn id="19" uniqueName="19" name="حاويات بنزين" queryTableFieldId="81" dataDxfId="43"/>
    <tableColumn id="20" uniqueName="20" name="بوصلة" queryTableFieldId="82" dataDxfId="42"/>
    <tableColumn id="21" uniqueName="21" name="جمازات" queryTableFieldId="83" dataDxfId="41"/>
    <tableColumn id="32" uniqueName="32" name="كاياك" queryTableFieldId="99" dataDxfId="40"/>
    <tableColumn id="30" uniqueName="30" name="ناقلة" queryTableFieldId="98" dataDxfId="39"/>
    <tableColumn id="26" uniqueName="26" name="مختلفة" queryTableFieldId="88" dataDxfId="38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1" name="بحرا" displayName="بحرا" ref="A1:AJ31" tableType="queryTable" totalsRowShown="0" headerRowDxfId="37" dataDxfId="36">
  <autoFilter ref="A1:AJ31"/>
  <tableColumns count="36">
    <tableColumn id="1" uniqueName="1" name="الأقاليم" queryTableFieldId="43" dataDxfId="35"/>
    <tableColumn id="27" uniqueName="27" name="مكان انطلاق العملية" queryTableFieldId="69" dataDxfId="34"/>
    <tableColumn id="2" uniqueName="2" name="عدد العمليات" queryTableFieldId="44" dataDxfId="33"/>
    <tableColumn id="3" uniqueName="3" name="تونسيين ذكور" queryTableFieldId="45" dataDxfId="32"/>
    <tableColumn id="34" uniqueName="34" name="تونسيين اناث" queryTableFieldId="76" dataDxfId="31"/>
    <tableColumn id="33" uniqueName="33" name="افارقة ذكور" queryTableFieldId="75" dataDxfId="30"/>
    <tableColumn id="32" uniqueName="32" name="افارقة اناث" queryTableFieldId="74" dataDxfId="29"/>
    <tableColumn id="31" uniqueName="31" name="جنسيات أخرى ذكور" queryTableFieldId="73" dataDxfId="28"/>
    <tableColumn id="30" uniqueName="30" name="جنسيات أخرى اناث" queryTableFieldId="72" dataDxfId="27"/>
    <tableColumn id="29" uniqueName="29" name="أقل من 18 سنة" queryTableFieldId="71" dataDxfId="26"/>
    <tableColumn id="4" uniqueName="4" name="بين 18و 40سنة" queryTableFieldId="46" dataDxfId="25"/>
    <tableColumn id="22" uniqueName="22" name="أكثر من40 سنة" queryTableFieldId="64" dataDxfId="24"/>
    <tableColumn id="5" uniqueName="5" name="عدد الموقوفين تونسيين" queryTableFieldId="47" dataDxfId="23"/>
    <tableColumn id="23" uniqueName="23" name="عدد الموقوفين أجانب" queryTableFieldId="65" dataDxfId="22"/>
    <tableColumn id="6" uniqueName="6" name="عدد المنظمين " queryTableFieldId="48" dataDxfId="21"/>
    <tableColumn id="24" uniqueName="24" name="عدد الوسطاء" queryTableFieldId="66" dataDxfId="20"/>
    <tableColumn id="7" uniqueName="7" name="العناصر الأمنية المورطة" queryTableFieldId="49" dataDxfId="19"/>
    <tableColumn id="25" uniqueName="25" name="منظمين و وسطاء مفتش عنهم" queryTableFieldId="67" dataDxfId="18"/>
    <tableColumn id="8" uniqueName="8" name="مفتش عنهم في قضايا حق عام" queryTableFieldId="50" dataDxfId="17"/>
    <tableColumn id="9" uniqueName="9" name="عناصر سلفية" queryTableFieldId="51" dataDxfId="16"/>
    <tableColumn id="10" uniqueName="10" name="مركب" queryTableFieldId="52" dataDxfId="15"/>
    <tableColumn id="11" uniqueName="11" name="محرك" queryTableFieldId="53" dataDxfId="14"/>
    <tableColumn id="12" uniqueName="12" name="زورق" queryTableFieldId="54" dataDxfId="13"/>
    <tableColumn id="13" uniqueName="13" name="سيارات" queryTableFieldId="55" dataDxfId="12"/>
    <tableColumn id="28" uniqueName="28" name="شاحنة" queryTableFieldId="70" dataDxfId="11"/>
    <tableColumn id="14" uniqueName="14" name="دراجة نارية" queryTableFieldId="56" dataDxfId="10"/>
    <tableColumn id="15" uniqueName="15" name="د.التونسي" queryTableFieldId="57" dataDxfId="9"/>
    <tableColumn id="16" uniqueName="16" name="الدولار" queryTableFieldId="58" dataDxfId="8"/>
    <tableColumn id="17" uniqueName="17" name="الأورو" queryTableFieldId="59" dataDxfId="7"/>
    <tableColumn id="18" uniqueName="18" name="هواتف" queryTableFieldId="60" dataDxfId="6"/>
    <tableColumn id="19" uniqueName="19" name=" بنزين" queryTableFieldId="61" dataDxfId="5"/>
    <tableColumn id="20" uniqueName="20" name="بوصلة" queryTableFieldId="62" dataDxfId="4"/>
    <tableColumn id="21" uniqueName="21" name="جمازات" queryTableFieldId="63" dataDxfId="3"/>
    <tableColumn id="36" uniqueName="36" name="كاياك" queryTableFieldId="78" dataDxfId="2"/>
    <tableColumn id="35" uniqueName="35" name="ناقلة" queryTableFieldId="77" dataDxfId="1"/>
    <tableColumn id="26" uniqueName="26" name="مختلفة" queryTableFieldId="6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04AAF5-599B-4232-828B-3161947A4484}">
  <we:reference id="wa104381701" version="1.0.0.4" store="fr-FR" storeType="OMEX"/>
  <we:alternateReferences>
    <we:reference id="WA104381701" version="1.0.0.4" store="WA104381701" storeType="OMEX"/>
  </we:alternateReferences>
  <we:properties/>
  <we:bindings>
    <we:binding id="currentSelection" type="table" appref="{6B5466C6-B7B5-4CB2-A56A-434B78FACB00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  <pageSetUpPr fitToPage="1"/>
  </sheetPr>
  <dimension ref="A1:U45"/>
  <sheetViews>
    <sheetView rightToLeft="1" view="pageBreakPreview" zoomScale="140" zoomScaleSheetLayoutView="140" workbookViewId="0">
      <selection activeCell="F8" sqref="F8"/>
    </sheetView>
  </sheetViews>
  <sheetFormatPr baseColWidth="10" defaultRowHeight="15"/>
  <cols>
    <col min="1" max="1" width="27.85546875" customWidth="1"/>
    <col min="2" max="4" width="19.85546875" customWidth="1"/>
    <col min="6" max="7" width="21.28515625" customWidth="1"/>
    <col min="8" max="8" width="25.85546875" customWidth="1"/>
    <col min="9" max="9" width="20.28515625" customWidth="1"/>
    <col min="10" max="10" width="2.28515625" customWidth="1"/>
    <col min="12" max="12" width="6.140625" customWidth="1"/>
    <col min="13" max="13" width="27.85546875" style="47" hidden="1" customWidth="1"/>
    <col min="18" max="18" width="30.7109375" customWidth="1"/>
  </cols>
  <sheetData>
    <row r="1" spans="1:21" ht="15.75" thickBot="1">
      <c r="A1" s="142" t="s">
        <v>15</v>
      </c>
      <c r="B1" s="143" t="s">
        <v>63</v>
      </c>
      <c r="C1" s="144" t="s">
        <v>122</v>
      </c>
      <c r="D1" s="144" t="s">
        <v>129</v>
      </c>
      <c r="E1" s="144" t="s">
        <v>130</v>
      </c>
      <c r="F1" s="144" t="s">
        <v>133</v>
      </c>
      <c r="G1" s="144" t="s">
        <v>132</v>
      </c>
      <c r="H1" s="144" t="s">
        <v>131</v>
      </c>
      <c r="I1" s="145" t="s">
        <v>134</v>
      </c>
      <c r="J1" s="164"/>
      <c r="K1" s="64" t="s">
        <v>123</v>
      </c>
    </row>
    <row r="2" spans="1:21">
      <c r="A2" s="74" t="s">
        <v>16</v>
      </c>
      <c r="B2" s="50"/>
      <c r="C2" s="51"/>
      <c r="D2" s="51"/>
      <c r="E2" s="51"/>
      <c r="F2" s="51"/>
      <c r="G2" s="51"/>
      <c r="H2" s="51"/>
      <c r="I2" s="52"/>
      <c r="J2" s="164"/>
      <c r="K2" s="65"/>
    </row>
    <row r="3" spans="1:21">
      <c r="A3" s="74" t="s">
        <v>17</v>
      </c>
      <c r="B3" s="53"/>
      <c r="C3" s="54"/>
      <c r="D3" s="54"/>
      <c r="E3" s="54"/>
      <c r="F3" s="54"/>
      <c r="G3" s="54"/>
      <c r="H3" s="54"/>
      <c r="I3" s="55"/>
      <c r="J3" s="164"/>
      <c r="K3" s="66"/>
    </row>
    <row r="4" spans="1:21">
      <c r="A4" s="74" t="s">
        <v>18</v>
      </c>
      <c r="B4" s="53"/>
      <c r="C4" s="54"/>
      <c r="D4" s="54"/>
      <c r="E4" s="54"/>
      <c r="F4" s="54"/>
      <c r="G4" s="54"/>
      <c r="H4" s="54"/>
      <c r="I4" s="55"/>
      <c r="J4" s="164"/>
      <c r="K4" s="66"/>
    </row>
    <row r="5" spans="1:21">
      <c r="A5" s="74" t="s">
        <v>19</v>
      </c>
      <c r="B5" s="53"/>
      <c r="C5" s="54"/>
      <c r="D5" s="54"/>
      <c r="E5" s="54"/>
      <c r="F5" s="54"/>
      <c r="G5" s="54"/>
      <c r="H5" s="54"/>
      <c r="I5" s="55"/>
      <c r="J5" s="164"/>
      <c r="K5" s="66"/>
    </row>
    <row r="6" spans="1:21">
      <c r="A6" s="74" t="s">
        <v>20</v>
      </c>
      <c r="B6" s="53"/>
      <c r="C6" s="54"/>
      <c r="D6" s="54"/>
      <c r="E6" s="54"/>
      <c r="F6" s="54"/>
      <c r="G6" s="54"/>
      <c r="H6" s="54"/>
      <c r="I6" s="57"/>
      <c r="J6" s="164"/>
      <c r="K6" s="66"/>
    </row>
    <row r="7" spans="1:21">
      <c r="A7" s="74" t="s">
        <v>21</v>
      </c>
      <c r="B7" s="53"/>
      <c r="C7" s="54"/>
      <c r="D7" s="54"/>
      <c r="E7" s="54"/>
      <c r="F7" s="54"/>
      <c r="G7" s="54"/>
      <c r="H7" s="54"/>
      <c r="I7" s="55"/>
      <c r="J7" s="164"/>
      <c r="K7" s="66"/>
    </row>
    <row r="8" spans="1:21">
      <c r="A8" s="74" t="s">
        <v>22</v>
      </c>
      <c r="B8" s="53">
        <v>1</v>
      </c>
      <c r="C8" s="54"/>
      <c r="D8" s="54">
        <v>1</v>
      </c>
      <c r="E8" s="54"/>
      <c r="F8" s="54"/>
      <c r="G8" s="54"/>
      <c r="H8" s="54"/>
      <c r="I8" s="55"/>
      <c r="J8" s="164"/>
      <c r="K8" s="66">
        <v>230</v>
      </c>
    </row>
    <row r="9" spans="1:21">
      <c r="A9" s="74" t="s">
        <v>23</v>
      </c>
      <c r="B9" s="53"/>
      <c r="C9" s="54"/>
      <c r="D9" s="54"/>
      <c r="E9" s="54"/>
      <c r="F9" s="54"/>
      <c r="G9" s="54"/>
      <c r="H9" s="54"/>
      <c r="I9" s="55"/>
      <c r="J9" s="164"/>
      <c r="K9" s="66"/>
    </row>
    <row r="10" spans="1:21">
      <c r="A10" s="74" t="s">
        <v>24</v>
      </c>
      <c r="B10" s="53">
        <v>1</v>
      </c>
      <c r="C10" s="54">
        <v>1</v>
      </c>
      <c r="D10" s="54">
        <v>1</v>
      </c>
      <c r="E10" s="54"/>
      <c r="F10" s="54"/>
      <c r="G10" s="54">
        <v>22</v>
      </c>
      <c r="H10" s="54"/>
      <c r="I10" s="55"/>
      <c r="J10" s="164"/>
      <c r="K10" s="66" t="s">
        <v>205</v>
      </c>
    </row>
    <row r="11" spans="1:21">
      <c r="A11" s="74" t="s">
        <v>25</v>
      </c>
      <c r="B11" s="53"/>
      <c r="C11" s="54"/>
      <c r="D11" s="54"/>
      <c r="E11" s="54"/>
      <c r="F11" s="54"/>
      <c r="G11" s="54"/>
      <c r="H11" s="54"/>
      <c r="I11" s="55"/>
      <c r="J11" s="164"/>
      <c r="K11" s="66"/>
    </row>
    <row r="12" spans="1:21">
      <c r="A12" s="74" t="s">
        <v>68</v>
      </c>
      <c r="B12" s="53"/>
      <c r="C12" s="54"/>
      <c r="D12" s="54"/>
      <c r="E12" s="54"/>
      <c r="F12" s="54"/>
      <c r="G12" s="54"/>
      <c r="H12" s="54"/>
      <c r="I12" s="55"/>
      <c r="J12" s="164"/>
      <c r="K12" s="66"/>
      <c r="Q12" s="46"/>
      <c r="R12" s="46"/>
      <c r="S12" s="46"/>
      <c r="T12" s="46"/>
      <c r="U12" s="46"/>
    </row>
    <row r="13" spans="1:21">
      <c r="A13" s="74" t="s">
        <v>26</v>
      </c>
      <c r="B13" s="53"/>
      <c r="C13" s="54"/>
      <c r="D13" s="54"/>
      <c r="E13" s="54"/>
      <c r="F13" s="54"/>
      <c r="G13" s="54"/>
      <c r="H13" s="54"/>
      <c r="I13" s="55"/>
      <c r="J13" s="164"/>
      <c r="K13" s="66"/>
    </row>
    <row r="14" spans="1:21">
      <c r="A14" s="74" t="s">
        <v>27</v>
      </c>
      <c r="B14" s="53"/>
      <c r="C14" s="54"/>
      <c r="D14" s="54"/>
      <c r="E14" s="54"/>
      <c r="F14" s="54"/>
      <c r="G14" s="54"/>
      <c r="H14" s="54"/>
      <c r="I14" s="55"/>
      <c r="J14" s="164"/>
      <c r="K14" s="66"/>
    </row>
    <row r="15" spans="1:21">
      <c r="A15" s="74" t="s">
        <v>28</v>
      </c>
      <c r="B15" s="53"/>
      <c r="C15" s="54"/>
      <c r="D15" s="54"/>
      <c r="E15" s="54"/>
      <c r="F15" s="54"/>
      <c r="G15" s="54"/>
      <c r="H15" s="54"/>
      <c r="I15" s="55"/>
      <c r="J15" s="164"/>
      <c r="K15" s="66"/>
    </row>
    <row r="16" spans="1:21">
      <c r="A16" s="74" t="s">
        <v>29</v>
      </c>
      <c r="B16" s="53"/>
      <c r="C16" s="54"/>
      <c r="D16" s="54"/>
      <c r="E16" s="54"/>
      <c r="F16" s="54"/>
      <c r="G16" s="54"/>
      <c r="H16" s="54"/>
      <c r="I16" s="55"/>
      <c r="J16" s="164"/>
      <c r="K16" s="66"/>
    </row>
    <row r="17" spans="1:11">
      <c r="A17" s="74" t="s">
        <v>30</v>
      </c>
      <c r="B17" s="53"/>
      <c r="C17" s="54"/>
      <c r="D17" s="54"/>
      <c r="E17" s="54"/>
      <c r="F17" s="54"/>
      <c r="G17" s="54"/>
      <c r="H17" s="54"/>
      <c r="I17" s="55"/>
      <c r="J17" s="164"/>
      <c r="K17" s="66"/>
    </row>
    <row r="18" spans="1:11">
      <c r="A18" s="74" t="s">
        <v>31</v>
      </c>
      <c r="B18" s="53"/>
      <c r="C18" s="54"/>
      <c r="D18" s="54"/>
      <c r="E18" s="54"/>
      <c r="F18" s="54"/>
      <c r="G18" s="54"/>
      <c r="H18" s="54"/>
      <c r="I18" s="55"/>
      <c r="J18" s="164"/>
      <c r="K18" s="66"/>
    </row>
    <row r="19" spans="1:11">
      <c r="A19" s="74" t="s">
        <v>42</v>
      </c>
      <c r="B19" s="53"/>
      <c r="C19" s="54"/>
      <c r="D19" s="54"/>
      <c r="E19" s="54"/>
      <c r="F19" s="54"/>
      <c r="G19" s="54"/>
      <c r="H19" s="54"/>
      <c r="I19" s="55"/>
      <c r="J19" s="164"/>
      <c r="K19" s="66"/>
    </row>
    <row r="20" spans="1:11">
      <c r="A20" s="74" t="s">
        <v>32</v>
      </c>
      <c r="B20" s="53"/>
      <c r="C20" s="54"/>
      <c r="D20" s="54"/>
      <c r="E20" s="54"/>
      <c r="F20" s="54"/>
      <c r="G20" s="54"/>
      <c r="H20" s="54"/>
      <c r="I20" s="55"/>
      <c r="J20" s="164"/>
      <c r="K20" s="66"/>
    </row>
    <row r="21" spans="1:11">
      <c r="A21" s="74" t="s">
        <v>33</v>
      </c>
      <c r="B21" s="53"/>
      <c r="C21" s="54"/>
      <c r="D21" s="54"/>
      <c r="E21" s="54"/>
      <c r="F21" s="54"/>
      <c r="G21" s="54"/>
      <c r="H21" s="54"/>
      <c r="I21" s="55"/>
      <c r="J21" s="164"/>
      <c r="K21" s="66"/>
    </row>
    <row r="22" spans="1:11">
      <c r="A22" s="74" t="s">
        <v>34</v>
      </c>
      <c r="B22" s="53"/>
      <c r="C22" s="54"/>
      <c r="D22" s="54"/>
      <c r="E22" s="54"/>
      <c r="F22" s="54"/>
      <c r="G22" s="54"/>
      <c r="H22" s="54"/>
      <c r="I22" s="55"/>
      <c r="J22" s="164"/>
      <c r="K22" s="66"/>
    </row>
    <row r="23" spans="1:11">
      <c r="A23" s="74" t="s">
        <v>35</v>
      </c>
      <c r="B23" s="53"/>
      <c r="C23" s="54"/>
      <c r="D23" s="54"/>
      <c r="E23" s="54"/>
      <c r="F23" s="54"/>
      <c r="G23" s="54"/>
      <c r="H23" s="54"/>
      <c r="I23" s="55"/>
      <c r="J23" s="164"/>
      <c r="K23" s="66"/>
    </row>
    <row r="24" spans="1:11">
      <c r="A24" s="74" t="s">
        <v>36</v>
      </c>
      <c r="B24" s="53"/>
      <c r="C24" s="54"/>
      <c r="D24" s="54"/>
      <c r="E24" s="54"/>
      <c r="F24" s="54"/>
      <c r="G24" s="54"/>
      <c r="H24" s="54"/>
      <c r="I24" s="55"/>
      <c r="J24" s="164"/>
      <c r="K24" s="66"/>
    </row>
    <row r="25" spans="1:11">
      <c r="A25" s="74" t="s">
        <v>37</v>
      </c>
      <c r="B25" s="53"/>
      <c r="C25" s="54"/>
      <c r="D25" s="54"/>
      <c r="E25" s="54"/>
      <c r="F25" s="54"/>
      <c r="G25" s="54"/>
      <c r="H25" s="54"/>
      <c r="I25" s="55"/>
      <c r="J25" s="164"/>
      <c r="K25" s="66"/>
    </row>
    <row r="26" spans="1:11">
      <c r="A26" s="74" t="s">
        <v>38</v>
      </c>
      <c r="B26" s="53"/>
      <c r="C26" s="54"/>
      <c r="D26" s="54"/>
      <c r="E26" s="54"/>
      <c r="F26" s="54"/>
      <c r="G26" s="54"/>
      <c r="H26" s="54"/>
      <c r="I26" s="55"/>
      <c r="J26" s="164"/>
      <c r="K26" s="66"/>
    </row>
    <row r="27" spans="1:11">
      <c r="A27" s="74" t="s">
        <v>39</v>
      </c>
      <c r="B27" s="53"/>
      <c r="C27" s="54"/>
      <c r="D27" s="54"/>
      <c r="E27" s="54"/>
      <c r="F27" s="54"/>
      <c r="G27" s="54"/>
      <c r="H27" s="54"/>
      <c r="I27" s="55"/>
      <c r="J27" s="164"/>
      <c r="K27" s="66"/>
    </row>
    <row r="28" spans="1:11">
      <c r="A28" s="74" t="s">
        <v>40</v>
      </c>
      <c r="B28" s="53"/>
      <c r="C28" s="54"/>
      <c r="D28" s="54"/>
      <c r="E28" s="54"/>
      <c r="F28" s="54"/>
      <c r="G28" s="54"/>
      <c r="H28" s="54"/>
      <c r="I28" s="55"/>
      <c r="J28" s="164"/>
      <c r="K28" s="66"/>
    </row>
    <row r="29" spans="1:11">
      <c r="A29" s="74" t="s">
        <v>41</v>
      </c>
      <c r="B29" s="53"/>
      <c r="C29" s="54"/>
      <c r="D29" s="54"/>
      <c r="E29" s="54"/>
      <c r="F29" s="54"/>
      <c r="G29" s="54"/>
      <c r="H29" s="54"/>
      <c r="I29" s="55"/>
      <c r="J29" s="164"/>
      <c r="K29" s="66"/>
    </row>
    <row r="30" spans="1:11">
      <c r="A30" s="74" t="s">
        <v>43</v>
      </c>
      <c r="B30" s="53"/>
      <c r="C30" s="54"/>
      <c r="D30" s="54"/>
      <c r="E30" s="54"/>
      <c r="F30" s="54"/>
      <c r="G30" s="54"/>
      <c r="H30" s="54"/>
      <c r="I30" s="55"/>
      <c r="J30" s="164"/>
      <c r="K30" s="66"/>
    </row>
    <row r="31" spans="1:11" ht="15.75" thickBot="1">
      <c r="A31" s="75" t="s">
        <v>44</v>
      </c>
      <c r="B31" s="58"/>
      <c r="C31" s="59"/>
      <c r="D31" s="59"/>
      <c r="E31" s="59"/>
      <c r="F31" s="59"/>
      <c r="G31" s="59"/>
      <c r="H31" s="59"/>
      <c r="I31" s="63"/>
      <c r="J31" s="164"/>
      <c r="K31" s="66"/>
    </row>
    <row r="32" spans="1:11" ht="15.75" thickBot="1">
      <c r="A32" s="209"/>
      <c r="B32" s="209"/>
      <c r="C32" s="209"/>
      <c r="D32" s="209"/>
      <c r="E32" s="209"/>
      <c r="F32" s="209"/>
      <c r="G32" s="209"/>
      <c r="H32" s="209"/>
      <c r="I32" s="209"/>
      <c r="J32" s="164"/>
      <c r="K32" s="73"/>
    </row>
    <row r="33" spans="1:13" ht="15.75" thickBot="1">
      <c r="A33" s="49" t="s">
        <v>55</v>
      </c>
      <c r="B33" s="60">
        <f>SUM(B2:B31)</f>
        <v>2</v>
      </c>
      <c r="C33" s="60">
        <f t="shared" ref="C33:I33" si="0">SUM(C2:C31)</f>
        <v>1</v>
      </c>
      <c r="D33" s="60">
        <f t="shared" si="0"/>
        <v>2</v>
      </c>
      <c r="E33" s="60">
        <f t="shared" si="0"/>
        <v>0</v>
      </c>
      <c r="F33" s="60">
        <f t="shared" si="0"/>
        <v>0</v>
      </c>
      <c r="G33" s="60">
        <f t="shared" si="0"/>
        <v>22</v>
      </c>
      <c r="H33" s="60">
        <f t="shared" si="0"/>
        <v>0</v>
      </c>
      <c r="I33" s="60">
        <f t="shared" si="0"/>
        <v>0</v>
      </c>
      <c r="J33" s="164"/>
      <c r="K33" s="68" t="s">
        <v>91</v>
      </c>
    </row>
    <row r="36" spans="1:13">
      <c r="M36" s="61"/>
    </row>
    <row r="37" spans="1:13">
      <c r="M37" s="62" t="str">
        <f>IF(D33=0,"",IF(D33=1,"-عدد 01 بندقية صيد.",IF(AND(D33&gt;=2,D33&lt;=10),"- عدد "&amp;D33&amp;"  بنادق صيد."," - عدد "&amp;D33&amp;" بندقية صيد.")))</f>
        <v>- عدد 2  بنادق صيد.</v>
      </c>
    </row>
    <row r="38" spans="1:13">
      <c r="M38" s="62" t="str">
        <f>IF(E33=0,"",IF(E33=1,"-عدد 01 مسدس.",IF(AND(E33&gt;=2,E33&lt;=10),"- عدد "&amp;E33&amp;" مسدسات."," - عدد "&amp;E33&amp;" مسدس.")))</f>
        <v/>
      </c>
    </row>
    <row r="39" spans="1:13">
      <c r="M39" s="62" t="str">
        <f>IF(F33=0,"",IF(F33=1,"-عدد 01 بندقية ضغط هوائي.",IF(AND(F33&gt;=2,F33&lt;=10),"- عدد "&amp;F33&amp;"  بنادق ضغط هوائي."," - عدد "&amp;F33&amp;" بندقية ضغط هوائي.")))</f>
        <v/>
      </c>
    </row>
    <row r="40" spans="1:13">
      <c r="M40" s="62" t="str">
        <f>IF(G33=0,"",IF(G33=1,"-عدد 01 خرطوشة.",IF(AND(G33&gt;=2,G33&lt;=10),"- عدد "&amp;G33&amp;" خراطيش."," - عدد "&amp;G33&amp;" خرطوشة.")))</f>
        <v xml:space="preserve"> - عدد 22 خرطوشة.</v>
      </c>
    </row>
    <row r="41" spans="1:13">
      <c r="M41" s="62" t="str">
        <f>IF(H33=0,"",IF(H33=1,"-عدد 01 اطلاقة.",IF(AND(H33&gt;=2,H33&lt;=10),"- عدد "&amp;H33&amp;" اطلاقات."," - عدد "&amp;H33&amp;" اطلاقة.")))</f>
        <v/>
      </c>
    </row>
    <row r="42" spans="1:13">
      <c r="M42" s="62" t="str">
        <f>IF(I33=0,"",IF(I33=1,"-عدد 01 ظرف.",IF(AND(I33&gt;=2,I33&lt;=10),"- عدد "&amp;I33&amp;" ظروف."," - عدد "&amp;I33&amp;" ظرف.")))</f>
        <v/>
      </c>
    </row>
    <row r="43" spans="1:13">
      <c r="M43" s="61" t="str">
        <f>IF(D39=0,"",IF(D39=1,"عدد 01 بندقية صيد."," عدد   "&amp;D39&amp;"  بنادق صيد."))</f>
        <v/>
      </c>
    </row>
    <row r="44" spans="1:13">
      <c r="M44" s="61"/>
    </row>
    <row r="45" spans="1:13" ht="93" customHeight="1">
      <c r="M45" s="48" t="str">
        <f>IF(M37&lt;&gt;"",M37&amp;CHAR(10),"")&amp;IF(M38&lt;&gt;"",M38&amp;CHAR(10),"")&amp;IF(M39&lt;&gt;"",M39&amp;CHAR(10),"")&amp;IF(M40&lt;&gt;"",M40&amp;CHAR(10),"")&amp;IF(M41&lt;&gt;"",M41&amp;CHAR(10),"")&amp;IF(M42&lt;&gt;"",M42,"")</f>
        <v>- عدد 2  بنادق صيد. - عدد 22 خرطوشة.</v>
      </c>
    </row>
  </sheetData>
  <sheetProtection sheet="1" objects="1" scenarios="1"/>
  <mergeCells count="1">
    <mergeCell ref="A32:I32"/>
  </mergeCells>
  <pageMargins left="0.25" right="0.25" top="0.75" bottom="0.75" header="0.3" footer="0.3"/>
  <pageSetup paperSize="9" scale="76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1:U51"/>
  <sheetViews>
    <sheetView rightToLeft="1" view="pageBreakPreview" zoomScale="130" zoomScaleSheetLayoutView="130" workbookViewId="0">
      <selection activeCell="K23" sqref="K23"/>
    </sheetView>
  </sheetViews>
  <sheetFormatPr baseColWidth="10" defaultRowHeight="15"/>
  <cols>
    <col min="1" max="1" width="27.85546875" customWidth="1"/>
    <col min="2" max="4" width="19.85546875" customWidth="1"/>
    <col min="5" max="5" width="11.7109375" customWidth="1"/>
    <col min="6" max="6" width="21.28515625" customWidth="1"/>
    <col min="7" max="7" width="25.85546875" customWidth="1"/>
    <col min="8" max="8" width="20.28515625" customWidth="1"/>
    <col min="9" max="9" width="27.85546875" customWidth="1"/>
    <col min="10" max="10" width="3.140625" customWidth="1"/>
    <col min="12" max="12" width="11.42578125" customWidth="1"/>
    <col min="13" max="13" width="28.42578125" style="47" bestFit="1" customWidth="1"/>
    <col min="18" max="18" width="30.7109375" customWidth="1"/>
  </cols>
  <sheetData>
    <row r="1" spans="1:21" ht="15.75" thickBot="1">
      <c r="A1" s="69" t="s">
        <v>15</v>
      </c>
      <c r="B1" s="70" t="s">
        <v>63</v>
      </c>
      <c r="C1" s="71" t="s">
        <v>122</v>
      </c>
      <c r="D1" s="71" t="s">
        <v>124</v>
      </c>
      <c r="E1" s="71" t="s">
        <v>125</v>
      </c>
      <c r="F1" s="71" t="s">
        <v>135</v>
      </c>
      <c r="G1" s="71" t="s">
        <v>126</v>
      </c>
      <c r="H1" s="71" t="s">
        <v>127</v>
      </c>
      <c r="I1" s="72" t="s">
        <v>128</v>
      </c>
      <c r="J1" s="164"/>
      <c r="K1" s="64" t="s">
        <v>123</v>
      </c>
    </row>
    <row r="2" spans="1:21">
      <c r="A2" s="74" t="s">
        <v>16</v>
      </c>
      <c r="B2" s="50"/>
      <c r="C2" s="51"/>
      <c r="D2" s="51"/>
      <c r="E2" s="51"/>
      <c r="F2" s="51"/>
      <c r="G2" s="51"/>
      <c r="H2" s="51"/>
      <c r="I2" s="52"/>
      <c r="J2" s="164"/>
      <c r="K2" s="65"/>
    </row>
    <row r="3" spans="1:21">
      <c r="A3" s="74" t="s">
        <v>17</v>
      </c>
      <c r="B3" s="53"/>
      <c r="C3" s="54"/>
      <c r="D3" s="54"/>
      <c r="E3" s="54"/>
      <c r="F3" s="54"/>
      <c r="G3" s="54"/>
      <c r="H3" s="54"/>
      <c r="I3" s="55"/>
      <c r="J3" s="164"/>
      <c r="K3" s="66"/>
    </row>
    <row r="4" spans="1:21">
      <c r="A4" s="74" t="s">
        <v>18</v>
      </c>
      <c r="B4" s="53"/>
      <c r="C4" s="54"/>
      <c r="D4" s="54"/>
      <c r="E4" s="54"/>
      <c r="F4" s="54"/>
      <c r="G4" s="54"/>
      <c r="H4" s="54"/>
      <c r="I4" s="55"/>
      <c r="J4" s="164"/>
      <c r="K4" s="66"/>
    </row>
    <row r="5" spans="1:21">
      <c r="A5" s="74" t="s">
        <v>19</v>
      </c>
      <c r="B5" s="53"/>
      <c r="C5" s="54"/>
      <c r="D5" s="54"/>
      <c r="E5" s="54"/>
      <c r="F5" s="54"/>
      <c r="G5" s="54"/>
      <c r="H5" s="54"/>
      <c r="I5" s="55"/>
      <c r="J5" s="164"/>
      <c r="K5" s="66"/>
    </row>
    <row r="6" spans="1:21">
      <c r="A6" s="74" t="s">
        <v>20</v>
      </c>
      <c r="B6" s="53"/>
      <c r="C6" s="54"/>
      <c r="D6" s="54"/>
      <c r="E6" s="54"/>
      <c r="F6" s="54"/>
      <c r="G6" s="54"/>
      <c r="H6" s="56"/>
      <c r="I6" s="57"/>
      <c r="J6" s="164"/>
      <c r="K6" s="66"/>
    </row>
    <row r="7" spans="1:21">
      <c r="A7" s="74" t="s">
        <v>21</v>
      </c>
      <c r="B7" s="53"/>
      <c r="C7" s="54"/>
      <c r="D7" s="54"/>
      <c r="E7" s="54"/>
      <c r="F7" s="54"/>
      <c r="G7" s="54"/>
      <c r="H7" s="54"/>
      <c r="I7" s="55"/>
      <c r="J7" s="164"/>
      <c r="K7" s="66"/>
    </row>
    <row r="8" spans="1:21">
      <c r="A8" s="74" t="s">
        <v>22</v>
      </c>
      <c r="B8" s="53"/>
      <c r="C8" s="54"/>
      <c r="D8" s="54"/>
      <c r="E8" s="54"/>
      <c r="F8" s="54"/>
      <c r="G8" s="54"/>
      <c r="H8" s="54"/>
      <c r="I8" s="55"/>
      <c r="J8" s="164"/>
      <c r="K8" s="66"/>
    </row>
    <row r="9" spans="1:21">
      <c r="A9" s="74" t="s">
        <v>23</v>
      </c>
      <c r="B9" s="53"/>
      <c r="C9" s="54"/>
      <c r="D9" s="54"/>
      <c r="E9" s="54"/>
      <c r="F9" s="54"/>
      <c r="G9" s="54"/>
      <c r="H9" s="54"/>
      <c r="I9" s="55"/>
      <c r="J9" s="164"/>
      <c r="K9" s="66"/>
    </row>
    <row r="10" spans="1:21">
      <c r="A10" s="74" t="s">
        <v>24</v>
      </c>
      <c r="B10" s="53"/>
      <c r="C10" s="54"/>
      <c r="D10" s="54"/>
      <c r="E10" s="54"/>
      <c r="F10" s="54"/>
      <c r="G10" s="54"/>
      <c r="H10" s="54"/>
      <c r="I10" s="55"/>
      <c r="J10" s="164"/>
      <c r="K10" s="66"/>
    </row>
    <row r="11" spans="1:21">
      <c r="A11" s="74" t="s">
        <v>25</v>
      </c>
      <c r="B11" s="53"/>
      <c r="C11" s="54"/>
      <c r="D11" s="54"/>
      <c r="E11" s="54"/>
      <c r="F11" s="54"/>
      <c r="G11" s="54"/>
      <c r="H11" s="54"/>
      <c r="I11" s="55"/>
      <c r="J11" s="164"/>
      <c r="K11" s="66"/>
    </row>
    <row r="12" spans="1:21">
      <c r="A12" s="74" t="s">
        <v>68</v>
      </c>
      <c r="B12" s="53"/>
      <c r="C12" s="54"/>
      <c r="D12" s="54"/>
      <c r="E12" s="54"/>
      <c r="F12" s="54"/>
      <c r="G12" s="54"/>
      <c r="H12" s="54"/>
      <c r="I12" s="55"/>
      <c r="J12" s="164"/>
      <c r="K12" s="66"/>
      <c r="Q12" s="46"/>
      <c r="R12" s="46"/>
      <c r="S12" s="46"/>
      <c r="T12" s="46"/>
      <c r="U12" s="46"/>
    </row>
    <row r="13" spans="1:21">
      <c r="A13" s="74" t="s">
        <v>26</v>
      </c>
      <c r="B13" s="53"/>
      <c r="C13" s="54"/>
      <c r="D13" s="54"/>
      <c r="E13" s="54"/>
      <c r="F13" s="54"/>
      <c r="G13" s="54"/>
      <c r="H13" s="54"/>
      <c r="I13" s="55"/>
      <c r="J13" s="164"/>
      <c r="K13" s="66"/>
    </row>
    <row r="14" spans="1:21">
      <c r="A14" s="74" t="s">
        <v>27</v>
      </c>
      <c r="B14" s="53"/>
      <c r="C14" s="54"/>
      <c r="D14" s="54"/>
      <c r="E14" s="54"/>
      <c r="F14" s="54"/>
      <c r="G14" s="54"/>
      <c r="H14" s="54"/>
      <c r="I14" s="55"/>
      <c r="J14" s="164"/>
      <c r="K14" s="66"/>
    </row>
    <row r="15" spans="1:21">
      <c r="A15" s="74" t="s">
        <v>28</v>
      </c>
      <c r="B15" s="53"/>
      <c r="C15" s="54"/>
      <c r="D15" s="54"/>
      <c r="E15" s="54"/>
      <c r="F15" s="54"/>
      <c r="G15" s="54"/>
      <c r="H15" s="54"/>
      <c r="I15" s="55"/>
      <c r="J15" s="164"/>
      <c r="K15" s="66"/>
    </row>
    <row r="16" spans="1:21">
      <c r="A16" s="74" t="s">
        <v>29</v>
      </c>
      <c r="B16" s="53"/>
      <c r="C16" s="54"/>
      <c r="D16" s="54"/>
      <c r="E16" s="54"/>
      <c r="F16" s="54"/>
      <c r="G16" s="54"/>
      <c r="H16" s="54"/>
      <c r="I16" s="55"/>
      <c r="J16" s="164"/>
      <c r="K16" s="66"/>
    </row>
    <row r="17" spans="1:11">
      <c r="A17" s="74" t="s">
        <v>30</v>
      </c>
      <c r="B17" s="53">
        <v>1</v>
      </c>
      <c r="C17" s="54">
        <v>1</v>
      </c>
      <c r="D17" s="54">
        <v>2</v>
      </c>
      <c r="E17" s="54"/>
      <c r="F17" s="54">
        <v>1</v>
      </c>
      <c r="G17" s="54"/>
      <c r="H17" s="54"/>
      <c r="I17" s="55"/>
      <c r="J17" s="164"/>
      <c r="K17" s="66">
        <v>407</v>
      </c>
    </row>
    <row r="18" spans="1:11">
      <c r="A18" s="74" t="s">
        <v>31</v>
      </c>
      <c r="B18" s="53"/>
      <c r="C18" s="54"/>
      <c r="D18" s="54"/>
      <c r="E18" s="54"/>
      <c r="F18" s="54"/>
      <c r="G18" s="54"/>
      <c r="H18" s="54"/>
      <c r="I18" s="55"/>
      <c r="J18" s="164"/>
      <c r="K18" s="66"/>
    </row>
    <row r="19" spans="1:11">
      <c r="A19" s="74" t="s">
        <v>42</v>
      </c>
      <c r="B19" s="53"/>
      <c r="C19" s="54"/>
      <c r="D19" s="54"/>
      <c r="E19" s="54"/>
      <c r="F19" s="54"/>
      <c r="G19" s="54"/>
      <c r="H19" s="54"/>
      <c r="I19" s="55"/>
      <c r="J19" s="164"/>
      <c r="K19" s="66"/>
    </row>
    <row r="20" spans="1:11">
      <c r="A20" s="74" t="s">
        <v>32</v>
      </c>
      <c r="B20" s="53"/>
      <c r="C20" s="54"/>
      <c r="D20" s="54"/>
      <c r="E20" s="54"/>
      <c r="F20" s="54"/>
      <c r="G20" s="54"/>
      <c r="H20" s="54"/>
      <c r="I20" s="55"/>
      <c r="J20" s="164"/>
      <c r="K20" s="66"/>
    </row>
    <row r="21" spans="1:11">
      <c r="A21" s="74" t="s">
        <v>33</v>
      </c>
      <c r="B21" s="53"/>
      <c r="C21" s="54"/>
      <c r="D21" s="54"/>
      <c r="E21" s="54"/>
      <c r="F21" s="54"/>
      <c r="G21" s="54"/>
      <c r="H21" s="54"/>
      <c r="I21" s="55"/>
      <c r="J21" s="164"/>
      <c r="K21" s="66"/>
    </row>
    <row r="22" spans="1:11">
      <c r="A22" s="74" t="s">
        <v>34</v>
      </c>
      <c r="B22" s="53"/>
      <c r="C22" s="54"/>
      <c r="D22" s="54"/>
      <c r="E22" s="54"/>
      <c r="F22" s="54"/>
      <c r="G22" s="54"/>
      <c r="H22" s="54"/>
      <c r="I22" s="55"/>
      <c r="J22" s="164"/>
      <c r="K22" s="66"/>
    </row>
    <row r="23" spans="1:11">
      <c r="A23" s="74" t="s">
        <v>35</v>
      </c>
      <c r="B23" s="53">
        <v>1</v>
      </c>
      <c r="C23" s="54">
        <v>1</v>
      </c>
      <c r="D23" s="54">
        <v>56</v>
      </c>
      <c r="E23" s="54"/>
      <c r="F23" s="54">
        <v>2</v>
      </c>
      <c r="G23" s="54"/>
      <c r="H23" s="54"/>
      <c r="I23" s="55"/>
      <c r="J23" s="164"/>
      <c r="K23" s="66">
        <v>236</v>
      </c>
    </row>
    <row r="24" spans="1:11">
      <c r="A24" s="74" t="s">
        <v>36</v>
      </c>
      <c r="B24" s="53"/>
      <c r="C24" s="54"/>
      <c r="D24" s="54"/>
      <c r="E24" s="54"/>
      <c r="F24" s="54"/>
      <c r="G24" s="54"/>
      <c r="H24" s="54"/>
      <c r="I24" s="55"/>
      <c r="J24" s="164"/>
      <c r="K24" s="66"/>
    </row>
    <row r="25" spans="1:11">
      <c r="A25" s="74" t="s">
        <v>37</v>
      </c>
      <c r="B25" s="53"/>
      <c r="C25" s="54"/>
      <c r="D25" s="54"/>
      <c r="E25" s="54"/>
      <c r="F25" s="54"/>
      <c r="G25" s="54"/>
      <c r="H25" s="54"/>
      <c r="I25" s="55"/>
      <c r="J25" s="164"/>
      <c r="K25" s="66"/>
    </row>
    <row r="26" spans="1:11">
      <c r="A26" s="74" t="s">
        <v>38</v>
      </c>
      <c r="B26" s="53"/>
      <c r="C26" s="54"/>
      <c r="D26" s="54"/>
      <c r="E26" s="54"/>
      <c r="F26" s="54"/>
      <c r="G26" s="54"/>
      <c r="H26" s="54"/>
      <c r="I26" s="55"/>
      <c r="J26" s="164"/>
      <c r="K26" s="66"/>
    </row>
    <row r="27" spans="1:11">
      <c r="A27" s="74" t="s">
        <v>39</v>
      </c>
      <c r="B27" s="53"/>
      <c r="C27" s="54"/>
      <c r="D27" s="54"/>
      <c r="E27" s="54"/>
      <c r="F27" s="54"/>
      <c r="G27" s="54"/>
      <c r="H27" s="54"/>
      <c r="I27" s="55"/>
      <c r="J27" s="164"/>
      <c r="K27" s="66"/>
    </row>
    <row r="28" spans="1:11">
      <c r="A28" s="74" t="s">
        <v>40</v>
      </c>
      <c r="B28" s="53"/>
      <c r="C28" s="54"/>
      <c r="D28" s="54"/>
      <c r="E28" s="54"/>
      <c r="F28" s="54"/>
      <c r="G28" s="54"/>
      <c r="H28" s="54"/>
      <c r="I28" s="55"/>
      <c r="J28" s="164"/>
      <c r="K28" s="66"/>
    </row>
    <row r="29" spans="1:11">
      <c r="A29" s="74" t="s">
        <v>41</v>
      </c>
      <c r="B29" s="53"/>
      <c r="C29" s="54"/>
      <c r="D29" s="54"/>
      <c r="E29" s="54"/>
      <c r="F29" s="54"/>
      <c r="G29" s="54"/>
      <c r="H29" s="54"/>
      <c r="I29" s="55"/>
      <c r="J29" s="164"/>
      <c r="K29" s="66"/>
    </row>
    <row r="30" spans="1:11">
      <c r="A30" s="74" t="s">
        <v>43</v>
      </c>
      <c r="B30" s="53"/>
      <c r="C30" s="54"/>
      <c r="D30" s="54"/>
      <c r="E30" s="54"/>
      <c r="F30" s="54"/>
      <c r="G30" s="54"/>
      <c r="H30" s="54"/>
      <c r="I30" s="55"/>
      <c r="J30" s="164"/>
      <c r="K30" s="66"/>
    </row>
    <row r="31" spans="1:11" ht="15.75" thickBot="1">
      <c r="A31" s="75" t="s">
        <v>44</v>
      </c>
      <c r="B31" s="58"/>
      <c r="C31" s="59"/>
      <c r="D31" s="59"/>
      <c r="E31" s="59"/>
      <c r="F31" s="59"/>
      <c r="G31" s="59"/>
      <c r="H31" s="59"/>
      <c r="I31" s="63"/>
      <c r="J31" s="164"/>
      <c r="K31" s="67"/>
    </row>
    <row r="32" spans="1:11" ht="16.5" customHeight="1" thickBot="1">
      <c r="A32" s="209"/>
      <c r="B32" s="209"/>
      <c r="C32" s="209"/>
      <c r="D32" s="209"/>
      <c r="E32" s="209"/>
      <c r="F32" s="209"/>
      <c r="G32" s="209"/>
      <c r="H32" s="209"/>
      <c r="I32" s="209"/>
      <c r="J32" s="164"/>
      <c r="K32" s="73"/>
    </row>
    <row r="33" spans="1:14" ht="15.75" thickBot="1">
      <c r="A33" s="49" t="s">
        <v>55</v>
      </c>
      <c r="B33" s="60">
        <f>SUM(B2:B31)</f>
        <v>2</v>
      </c>
      <c r="C33" s="60">
        <f t="shared" ref="C33:I33" si="0">SUM(C2:C31)</f>
        <v>2</v>
      </c>
      <c r="D33" s="60">
        <f>SUM(D2:D31)</f>
        <v>58</v>
      </c>
      <c r="E33" s="60">
        <f t="shared" si="0"/>
        <v>0</v>
      </c>
      <c r="F33" s="60">
        <f t="shared" si="0"/>
        <v>3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164"/>
      <c r="K33" s="68" t="s">
        <v>91</v>
      </c>
    </row>
    <row r="34" spans="1:14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114"/>
      <c r="N34" s="79"/>
    </row>
    <row r="35" spans="1:14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114"/>
      <c r="N35" s="79"/>
    </row>
    <row r="36" spans="1:14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114"/>
      <c r="N36" s="79"/>
    </row>
    <row r="37" spans="1:14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115" t="str">
        <f>IF(D33=0,"",IF(D33=1,"-عدد 01 علبة جعة  .",IF(AND(D33&gt;=2,D33&lt;=10),"- عدد "&amp;D33&amp;" علب جعة  ."," - عدد "&amp;D33&amp;" علبة جعة.")))</f>
        <v xml:space="preserve"> - عدد 58 علبة جعة.</v>
      </c>
      <c r="N37" s="79"/>
    </row>
    <row r="38" spans="1:14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115" t="str">
        <f>IF(E33=0,"",IF(E33=1,"-عدد 01 قارورة جعة  .",IF(AND(E33&gt;=2,E33&lt;=10),"- عدد "&amp;E33&amp;" قواريير جعة  ."," - عدد "&amp;E33&amp;" قارورة جعة.")))</f>
        <v/>
      </c>
      <c r="N38" s="79"/>
    </row>
    <row r="39" spans="1:14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115" t="str">
        <f>IF(F33=0,"",IF(F33=1,"-عدد 01 قارورة خمر .",IF(AND(F33&gt;=2,F33&lt;=10),"- عدد "&amp;F33&amp;" قوارير خمر ."," - عدد "&amp;F33&amp;" قارورة خمر.")))</f>
        <v>- عدد 3 قوارير خمر .</v>
      </c>
      <c r="N39" s="79"/>
    </row>
    <row r="40" spans="1:14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115" t="str">
        <f>IF(G33=0,"",IF(G33=1,"-عدد 01 قارورة مشروبات كحولية فاخرة  .",IF(AND(G33&gt;=2,G33&lt;=10),"- عدد "&amp;G33&amp;" قوارير مشروبات كحولية فاخرة  ."," - عدد "&amp;G33&amp;" قارورة مشروبات كحولية فاخرة.")))</f>
        <v/>
      </c>
      <c r="N40" s="79"/>
    </row>
    <row r="41" spans="1:14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115" t="str">
        <f>IF(H33=0,"",IF(H33=1,"-عدد 01 قارورة كحول  .",IF(AND(H33&gt;=2,H33&lt;=10),"- عدد "&amp;H33&amp;" قوارير كحول  ."," - عدد "&amp;H33&amp;" قارورة كحول.")))</f>
        <v/>
      </c>
      <c r="N41" s="79"/>
    </row>
    <row r="42" spans="1:14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115" t="str">
        <f>IF(I33=0,"",IF(I33=1,"- عدد 01 لتر من المشروبات المسكرة . ","-عدد "&amp;I33&amp;" لتر من المشروبات المسكرة ."))</f>
        <v/>
      </c>
      <c r="N42" s="79"/>
    </row>
    <row r="43" spans="1:14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115" t="str">
        <f>IF(D39=0,"",IF(D39=1,"- عدد 01 علبة جعة ","-عدد "&amp;D39&amp;" علب جعة."))</f>
        <v/>
      </c>
      <c r="N43" s="79"/>
    </row>
    <row r="44" spans="1:14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114"/>
      <c r="N44" s="79"/>
    </row>
    <row r="45" spans="1:14" ht="93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116" t="str">
        <f>IF(M37&lt;&gt;"",M37&amp;CHAR(10),"")&amp;IF(M38&lt;&gt;"",M38&amp;CHAR(10),"")&amp;IF(M39&lt;&gt;"",M39&amp;CHAR(10),"")&amp;IF(M40&lt;&gt;"",M40&amp;CHAR(10),"")&amp;IF(M41&lt;&gt;"",M41&amp;CHAR(10),"")&amp;IF(M42&lt;&gt;"",M42,"")</f>
        <v xml:space="preserve"> - عدد 58 علبة جعة.- عدد 3 قوارير خمر .</v>
      </c>
      <c r="N45" s="79"/>
    </row>
    <row r="46" spans="1:14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114"/>
      <c r="N46" s="79"/>
    </row>
    <row r="47" spans="1:14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114"/>
      <c r="N47" s="79"/>
    </row>
    <row r="48" spans="1:14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114"/>
      <c r="N48" s="79"/>
    </row>
    <row r="49" spans="1:14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114"/>
      <c r="N49" s="79"/>
    </row>
    <row r="50" spans="1:14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114"/>
      <c r="N50" s="79"/>
    </row>
    <row r="51" spans="1:14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114"/>
      <c r="N51" s="79"/>
    </row>
  </sheetData>
  <sheetProtection sheet="1" objects="1" scenarios="1"/>
  <mergeCells count="1">
    <mergeCell ref="A32:I32"/>
  </mergeCells>
  <pageMargins left="0.25" right="0.25" top="0.75" bottom="0.75" header="0.3" footer="0.3"/>
  <pageSetup paperSize="9" scale="73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A1:AV48"/>
  <sheetViews>
    <sheetView rightToLeft="1" tabSelected="1" zoomScale="70" zoomScaleNormal="70" workbookViewId="0">
      <selection activeCell="B42" sqref="B42"/>
    </sheetView>
  </sheetViews>
  <sheetFormatPr baseColWidth="10" defaultRowHeight="15"/>
  <cols>
    <col min="1" max="1" width="36.140625" customWidth="1"/>
    <col min="2" max="2" width="29.7109375" bestFit="1" customWidth="1"/>
    <col min="3" max="3" width="12.7109375" customWidth="1"/>
    <col min="4" max="9" width="11.85546875" customWidth="1"/>
    <col min="10" max="45" width="13" customWidth="1"/>
    <col min="46" max="46" width="21.85546875" customWidth="1"/>
    <col min="47" max="47" width="2.28515625" customWidth="1"/>
    <col min="48" max="48" width="31.85546875" customWidth="1"/>
  </cols>
  <sheetData>
    <row r="1" spans="1:48" ht="30" thickTop="1" thickBot="1">
      <c r="A1" s="80"/>
      <c r="B1" s="80"/>
      <c r="C1" s="80"/>
      <c r="D1" s="81" t="s">
        <v>136</v>
      </c>
      <c r="E1" s="81"/>
      <c r="F1" s="81"/>
      <c r="G1" s="81"/>
      <c r="H1" s="81" t="s">
        <v>137</v>
      </c>
      <c r="I1" s="81"/>
      <c r="J1" s="81"/>
      <c r="K1" s="81"/>
      <c r="L1" s="81" t="s">
        <v>138</v>
      </c>
      <c r="M1" s="81"/>
      <c r="N1" s="81"/>
      <c r="O1" s="81"/>
      <c r="P1" s="81"/>
      <c r="Q1" s="81" t="s">
        <v>139</v>
      </c>
      <c r="R1" s="81"/>
      <c r="S1" s="210" t="s">
        <v>182</v>
      </c>
      <c r="T1" s="210"/>
      <c r="U1" s="210"/>
      <c r="V1" s="81" t="s">
        <v>141</v>
      </c>
      <c r="W1" s="81"/>
      <c r="X1" s="81"/>
      <c r="Y1" s="81" t="s">
        <v>142</v>
      </c>
      <c r="Z1" s="81"/>
      <c r="AA1" s="81"/>
      <c r="AB1" s="82" t="s">
        <v>87</v>
      </c>
      <c r="AC1" s="81" t="s">
        <v>143</v>
      </c>
      <c r="AD1" s="81"/>
      <c r="AE1" s="81" t="s">
        <v>49</v>
      </c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</row>
    <row r="2" spans="1:48" ht="64.5" thickTop="1" thickBot="1">
      <c r="A2" s="111" t="s">
        <v>15</v>
      </c>
      <c r="B2" s="93" t="s">
        <v>144</v>
      </c>
      <c r="C2" s="93" t="s">
        <v>63</v>
      </c>
      <c r="D2" s="166" t="s">
        <v>145</v>
      </c>
      <c r="E2" s="166" t="s">
        <v>146</v>
      </c>
      <c r="F2" s="166" t="s">
        <v>147</v>
      </c>
      <c r="G2" s="166" t="s">
        <v>148</v>
      </c>
      <c r="H2" s="166" t="s">
        <v>149</v>
      </c>
      <c r="I2" s="166" t="s">
        <v>150</v>
      </c>
      <c r="J2" s="166" t="s">
        <v>151</v>
      </c>
      <c r="K2" s="166" t="s">
        <v>152</v>
      </c>
      <c r="L2" s="94" t="s">
        <v>153</v>
      </c>
      <c r="M2" s="94" t="s">
        <v>193</v>
      </c>
      <c r="N2" s="94" t="s">
        <v>154</v>
      </c>
      <c r="O2" s="94" t="s">
        <v>190</v>
      </c>
      <c r="P2" s="94" t="s">
        <v>192</v>
      </c>
      <c r="Q2" s="94" t="s">
        <v>157</v>
      </c>
      <c r="R2" s="94" t="s">
        <v>189</v>
      </c>
      <c r="S2" s="94" t="s">
        <v>188</v>
      </c>
      <c r="T2" s="94" t="s">
        <v>176</v>
      </c>
      <c r="U2" s="94" t="s">
        <v>159</v>
      </c>
      <c r="V2" s="94" t="s">
        <v>187</v>
      </c>
      <c r="W2" s="94" t="s">
        <v>160</v>
      </c>
      <c r="X2" s="94" t="s">
        <v>186</v>
      </c>
      <c r="Y2" s="94" t="s">
        <v>185</v>
      </c>
      <c r="Z2" s="94" t="s">
        <v>161</v>
      </c>
      <c r="AA2" s="94" t="s">
        <v>162</v>
      </c>
      <c r="AB2" s="93" t="s">
        <v>87</v>
      </c>
      <c r="AC2" s="93" t="s">
        <v>163</v>
      </c>
      <c r="AD2" s="93" t="s">
        <v>164</v>
      </c>
      <c r="AE2" s="94" t="s">
        <v>165</v>
      </c>
      <c r="AF2" s="94" t="s">
        <v>96</v>
      </c>
      <c r="AG2" s="94" t="s">
        <v>67</v>
      </c>
      <c r="AH2" s="94" t="s">
        <v>166</v>
      </c>
      <c r="AI2" s="94" t="s">
        <v>167</v>
      </c>
      <c r="AJ2" s="94" t="s">
        <v>168</v>
      </c>
      <c r="AK2" s="94" t="s">
        <v>169</v>
      </c>
      <c r="AL2" s="94" t="s">
        <v>170</v>
      </c>
      <c r="AM2" s="94" t="s">
        <v>171</v>
      </c>
      <c r="AN2" s="94" t="s">
        <v>172</v>
      </c>
      <c r="AO2" s="94" t="s">
        <v>173</v>
      </c>
      <c r="AP2" s="94" t="s">
        <v>129</v>
      </c>
      <c r="AQ2" s="95" t="s">
        <v>4</v>
      </c>
      <c r="AR2" s="95" t="s">
        <v>66</v>
      </c>
      <c r="AS2" s="95" t="s">
        <v>65</v>
      </c>
      <c r="AT2" s="96" t="s">
        <v>184</v>
      </c>
      <c r="AU2" s="1"/>
      <c r="AV2" s="97" t="s">
        <v>123</v>
      </c>
    </row>
    <row r="3" spans="1:48" ht="24.75" thickTop="1" thickBot="1">
      <c r="A3" s="112" t="s">
        <v>16</v>
      </c>
      <c r="B3" s="108"/>
      <c r="C3" s="173"/>
      <c r="D3" s="179"/>
      <c r="E3" s="180"/>
      <c r="F3" s="180"/>
      <c r="G3" s="181"/>
      <c r="H3" s="175"/>
      <c r="I3" s="168"/>
      <c r="J3" s="168"/>
      <c r="K3" s="169"/>
      <c r="L3" s="108"/>
      <c r="M3" s="102"/>
      <c r="N3" s="108"/>
      <c r="O3" s="102"/>
      <c r="P3" s="108"/>
      <c r="Q3" s="102"/>
      <c r="R3" s="108"/>
      <c r="S3" s="102"/>
      <c r="T3" s="108"/>
      <c r="U3" s="102"/>
      <c r="V3" s="108"/>
      <c r="W3" s="102"/>
      <c r="X3" s="108"/>
      <c r="Y3" s="102"/>
      <c r="Z3" s="108"/>
      <c r="AA3" s="102"/>
      <c r="AB3" s="108"/>
      <c r="AC3" s="102"/>
      <c r="AD3" s="108"/>
      <c r="AE3" s="102"/>
      <c r="AF3" s="108"/>
      <c r="AG3" s="102"/>
      <c r="AH3" s="108"/>
      <c r="AI3" s="102"/>
      <c r="AJ3" s="108"/>
      <c r="AK3" s="102"/>
      <c r="AL3" s="108"/>
      <c r="AM3" s="102"/>
      <c r="AN3" s="108"/>
      <c r="AO3" s="102"/>
      <c r="AP3" s="108"/>
      <c r="AQ3" s="102"/>
      <c r="AR3" s="108"/>
      <c r="AS3" s="102"/>
      <c r="AT3" s="108"/>
      <c r="AU3" s="103"/>
      <c r="AV3" s="104"/>
    </row>
    <row r="4" spans="1:48" ht="24.75" thickTop="1" thickBot="1">
      <c r="A4" s="112" t="s">
        <v>17</v>
      </c>
      <c r="B4" s="108"/>
      <c r="C4" s="173"/>
      <c r="D4" s="182"/>
      <c r="E4" s="178"/>
      <c r="F4" s="178"/>
      <c r="G4" s="183"/>
      <c r="H4" s="176"/>
      <c r="I4" s="167"/>
      <c r="J4" s="167"/>
      <c r="K4" s="170"/>
      <c r="L4" s="108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5"/>
      <c r="AU4" s="103"/>
      <c r="AV4" s="104"/>
    </row>
    <row r="5" spans="1:48" ht="24.75" thickTop="1" thickBot="1">
      <c r="A5" s="112" t="s">
        <v>18</v>
      </c>
      <c r="B5" s="108"/>
      <c r="C5" s="173"/>
      <c r="D5" s="182"/>
      <c r="E5" s="178"/>
      <c r="F5" s="178"/>
      <c r="G5" s="183"/>
      <c r="H5" s="176"/>
      <c r="I5" s="167"/>
      <c r="J5" s="167"/>
      <c r="K5" s="170"/>
      <c r="L5" s="108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5"/>
      <c r="AU5" s="103"/>
      <c r="AV5" s="104"/>
    </row>
    <row r="6" spans="1:48" ht="24.75" thickTop="1" thickBot="1">
      <c r="A6" s="112" t="s">
        <v>19</v>
      </c>
      <c r="B6" s="108"/>
      <c r="C6" s="173"/>
      <c r="D6" s="182"/>
      <c r="E6" s="178"/>
      <c r="F6" s="178"/>
      <c r="G6" s="183"/>
      <c r="H6" s="176"/>
      <c r="I6" s="167"/>
      <c r="J6" s="167"/>
      <c r="K6" s="170"/>
      <c r="L6" s="108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5"/>
      <c r="AU6" s="103"/>
      <c r="AV6" s="104"/>
    </row>
    <row r="7" spans="1:48" ht="24.75" thickTop="1" thickBot="1">
      <c r="A7" s="112" t="s">
        <v>20</v>
      </c>
      <c r="B7" s="108"/>
      <c r="C7" s="173"/>
      <c r="D7" s="182"/>
      <c r="E7" s="178"/>
      <c r="F7" s="178"/>
      <c r="G7" s="183"/>
      <c r="H7" s="176"/>
      <c r="I7" s="167"/>
      <c r="J7" s="167"/>
      <c r="K7" s="170"/>
      <c r="L7" s="108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5"/>
      <c r="AU7" s="103"/>
      <c r="AV7" s="104"/>
    </row>
    <row r="8" spans="1:48" ht="24.75" thickTop="1" thickBot="1">
      <c r="A8" s="112" t="s">
        <v>21</v>
      </c>
      <c r="B8" s="108"/>
      <c r="C8" s="173"/>
      <c r="D8" s="182"/>
      <c r="E8" s="178"/>
      <c r="F8" s="178"/>
      <c r="G8" s="183"/>
      <c r="H8" s="176"/>
      <c r="I8" s="167"/>
      <c r="J8" s="167"/>
      <c r="K8" s="170"/>
      <c r="L8" s="108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5"/>
      <c r="AU8" s="103"/>
      <c r="AV8" s="104"/>
    </row>
    <row r="9" spans="1:48" ht="24.75" thickTop="1" thickBot="1">
      <c r="A9" s="112" t="s">
        <v>22</v>
      </c>
      <c r="B9" s="109"/>
      <c r="C9" s="173"/>
      <c r="D9" s="182"/>
      <c r="E9" s="178"/>
      <c r="F9" s="178"/>
      <c r="G9" s="183"/>
      <c r="H9" s="176"/>
      <c r="I9" s="167"/>
      <c r="J9" s="167"/>
      <c r="K9" s="170"/>
      <c r="L9" s="108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5"/>
      <c r="AU9" s="103"/>
      <c r="AV9" s="104"/>
    </row>
    <row r="10" spans="1:48" ht="24.75" thickTop="1" thickBot="1">
      <c r="A10" s="112" t="s">
        <v>23</v>
      </c>
      <c r="B10" s="109"/>
      <c r="C10" s="173"/>
      <c r="D10" s="182"/>
      <c r="E10" s="178"/>
      <c r="F10" s="178"/>
      <c r="G10" s="183"/>
      <c r="H10" s="176"/>
      <c r="I10" s="167"/>
      <c r="J10" s="167"/>
      <c r="K10" s="170"/>
      <c r="L10" s="108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5"/>
      <c r="AU10" s="103"/>
      <c r="AV10" s="162"/>
    </row>
    <row r="11" spans="1:48" ht="24.75" thickTop="1" thickBot="1">
      <c r="A11" s="112" t="s">
        <v>24</v>
      </c>
      <c r="B11" s="108"/>
      <c r="C11" s="173"/>
      <c r="D11" s="182"/>
      <c r="E11" s="178"/>
      <c r="F11" s="178"/>
      <c r="G11" s="183"/>
      <c r="H11" s="176"/>
      <c r="I11" s="167"/>
      <c r="J11" s="167"/>
      <c r="K11" s="170"/>
      <c r="L11" s="108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5"/>
      <c r="AU11" s="103"/>
      <c r="AV11" s="104"/>
    </row>
    <row r="12" spans="1:48" ht="24.75" thickTop="1" thickBot="1">
      <c r="A12" s="112" t="s">
        <v>25</v>
      </c>
      <c r="B12" s="108"/>
      <c r="C12" s="173"/>
      <c r="D12" s="182"/>
      <c r="E12" s="178"/>
      <c r="F12" s="178"/>
      <c r="G12" s="183"/>
      <c r="H12" s="176"/>
      <c r="I12" s="167"/>
      <c r="J12" s="167"/>
      <c r="K12" s="170"/>
      <c r="L12" s="108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5"/>
      <c r="AU12" s="103"/>
      <c r="AV12" s="104"/>
    </row>
    <row r="13" spans="1:48" ht="24.75" thickTop="1" thickBot="1">
      <c r="A13" s="112" t="s">
        <v>68</v>
      </c>
      <c r="B13" s="108"/>
      <c r="C13" s="173"/>
      <c r="D13" s="182"/>
      <c r="E13" s="178"/>
      <c r="F13" s="178"/>
      <c r="G13" s="183"/>
      <c r="H13" s="176"/>
      <c r="I13" s="167"/>
      <c r="J13" s="167"/>
      <c r="K13" s="170"/>
      <c r="L13" s="108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5"/>
      <c r="AU13" s="103"/>
      <c r="AV13" s="104"/>
    </row>
    <row r="14" spans="1:48" ht="24.75" thickTop="1" thickBot="1">
      <c r="A14" s="112" t="s">
        <v>26</v>
      </c>
      <c r="B14" s="108" t="s">
        <v>213</v>
      </c>
      <c r="C14" s="173">
        <v>1</v>
      </c>
      <c r="D14" s="182"/>
      <c r="E14" s="178">
        <v>1</v>
      </c>
      <c r="F14" s="178"/>
      <c r="G14" s="183"/>
      <c r="H14" s="176"/>
      <c r="I14" s="167">
        <v>1</v>
      </c>
      <c r="J14" s="167"/>
      <c r="K14" s="170"/>
      <c r="L14" s="108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90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>
        <v>1</v>
      </c>
      <c r="AM14" s="102"/>
      <c r="AN14" s="102"/>
      <c r="AO14" s="102"/>
      <c r="AP14" s="102"/>
      <c r="AQ14" s="102">
        <v>84</v>
      </c>
      <c r="AR14" s="102"/>
      <c r="AS14" s="102"/>
      <c r="AT14" s="105"/>
      <c r="AU14" s="103"/>
      <c r="AV14" s="162">
        <v>288</v>
      </c>
    </row>
    <row r="15" spans="1:48" ht="24.75" thickTop="1" thickBot="1">
      <c r="A15" s="112" t="s">
        <v>27</v>
      </c>
      <c r="B15" s="108"/>
      <c r="C15" s="173"/>
      <c r="D15" s="182"/>
      <c r="E15" s="178"/>
      <c r="F15" s="178"/>
      <c r="G15" s="183"/>
      <c r="H15" s="176"/>
      <c r="I15" s="167"/>
      <c r="J15" s="167"/>
      <c r="K15" s="170"/>
      <c r="L15" s="108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5"/>
      <c r="AU15" s="103"/>
      <c r="AV15" s="104"/>
    </row>
    <row r="16" spans="1:48" ht="24.75" thickTop="1" thickBot="1">
      <c r="A16" s="112" t="s">
        <v>28</v>
      </c>
      <c r="B16" s="108"/>
      <c r="C16" s="173"/>
      <c r="D16" s="182"/>
      <c r="E16" s="178"/>
      <c r="F16" s="178"/>
      <c r="G16" s="183"/>
      <c r="H16" s="176"/>
      <c r="I16" s="167"/>
      <c r="J16" s="167"/>
      <c r="K16" s="170"/>
      <c r="L16" s="108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5"/>
      <c r="AU16" s="103"/>
      <c r="AV16" s="104"/>
    </row>
    <row r="17" spans="1:48" ht="24.75" thickTop="1" thickBot="1">
      <c r="A17" s="112" t="s">
        <v>29</v>
      </c>
      <c r="B17" s="108"/>
      <c r="C17" s="173"/>
      <c r="D17" s="182"/>
      <c r="E17" s="178"/>
      <c r="F17" s="178"/>
      <c r="G17" s="183"/>
      <c r="H17" s="176"/>
      <c r="I17" s="167"/>
      <c r="J17" s="167"/>
      <c r="K17" s="170"/>
      <c r="L17" s="108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5"/>
      <c r="AU17" s="103"/>
      <c r="AV17" s="104"/>
    </row>
    <row r="18" spans="1:48" ht="24.75" thickTop="1" thickBot="1">
      <c r="A18" s="112" t="s">
        <v>30</v>
      </c>
      <c r="B18" s="158"/>
      <c r="C18" s="173"/>
      <c r="D18" s="182"/>
      <c r="E18" s="178"/>
      <c r="F18" s="178"/>
      <c r="G18" s="183"/>
      <c r="H18" s="176"/>
      <c r="I18" s="167"/>
      <c r="J18" s="167"/>
      <c r="K18" s="170"/>
      <c r="L18" s="158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60"/>
      <c r="AU18" s="103"/>
    </row>
    <row r="19" spans="1:48" ht="24.75" thickTop="1" thickBot="1">
      <c r="A19" s="112" t="s">
        <v>31</v>
      </c>
      <c r="B19" s="108"/>
      <c r="C19" s="173"/>
      <c r="D19" s="182"/>
      <c r="E19" s="178"/>
      <c r="F19" s="178"/>
      <c r="G19" s="183"/>
      <c r="H19" s="176"/>
      <c r="I19" s="167"/>
      <c r="J19" s="167"/>
      <c r="K19" s="170"/>
      <c r="L19" s="108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5"/>
      <c r="AU19" s="103"/>
      <c r="AV19" s="104"/>
    </row>
    <row r="20" spans="1:48" ht="24.75" thickTop="1" thickBot="1">
      <c r="A20" s="112" t="s">
        <v>32</v>
      </c>
      <c r="B20" s="112"/>
      <c r="C20" s="173"/>
      <c r="D20" s="182"/>
      <c r="E20" s="178"/>
      <c r="F20" s="178"/>
      <c r="G20" s="183"/>
      <c r="H20" s="176"/>
      <c r="I20" s="167"/>
      <c r="J20" s="167"/>
      <c r="K20" s="170"/>
      <c r="L20" s="108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5"/>
      <c r="AU20" s="103"/>
      <c r="AV20" s="104"/>
    </row>
    <row r="21" spans="1:48" ht="24.75" thickTop="1" thickBot="1">
      <c r="A21" s="112" t="s">
        <v>33</v>
      </c>
      <c r="B21" s="108" t="s">
        <v>204</v>
      </c>
      <c r="C21" s="173">
        <v>1</v>
      </c>
      <c r="D21" s="182">
        <v>1</v>
      </c>
      <c r="E21" s="178"/>
      <c r="F21" s="178"/>
      <c r="G21" s="183"/>
      <c r="H21" s="176">
        <v>2</v>
      </c>
      <c r="I21" s="167"/>
      <c r="J21" s="167"/>
      <c r="K21" s="170"/>
      <c r="L21" s="108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>
        <v>1</v>
      </c>
      <c r="AL21" s="102"/>
      <c r="AM21" s="102"/>
      <c r="AN21" s="102"/>
      <c r="AO21" s="102"/>
      <c r="AP21" s="102"/>
      <c r="AQ21" s="102"/>
      <c r="AR21" s="102"/>
      <c r="AS21" s="102"/>
      <c r="AT21" s="105"/>
      <c r="AU21" s="103"/>
      <c r="AV21" s="104">
        <v>181</v>
      </c>
    </row>
    <row r="22" spans="1:48" ht="24.75" thickTop="1" thickBot="1">
      <c r="A22" s="112" t="s">
        <v>34</v>
      </c>
      <c r="B22" s="108"/>
      <c r="C22" s="173"/>
      <c r="D22" s="182"/>
      <c r="E22" s="178"/>
      <c r="F22" s="178"/>
      <c r="G22" s="183"/>
      <c r="H22" s="176"/>
      <c r="I22" s="167"/>
      <c r="J22" s="167"/>
      <c r="K22" s="170"/>
      <c r="L22" s="108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90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5"/>
      <c r="AU22" s="103"/>
      <c r="AV22" s="104"/>
    </row>
    <row r="23" spans="1:48" ht="24.75" thickTop="1" thickBot="1">
      <c r="A23" s="112" t="s">
        <v>35</v>
      </c>
      <c r="B23" s="108"/>
      <c r="C23" s="173"/>
      <c r="D23" s="182"/>
      <c r="E23" s="178"/>
      <c r="F23" s="178"/>
      <c r="G23" s="183"/>
      <c r="H23" s="176"/>
      <c r="I23" s="167"/>
      <c r="J23" s="167"/>
      <c r="K23" s="170"/>
      <c r="L23" s="108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98"/>
      <c r="AU23" s="103"/>
      <c r="AV23" s="104"/>
    </row>
    <row r="24" spans="1:48" ht="24.75" thickTop="1" thickBot="1">
      <c r="A24" s="112" t="s">
        <v>36</v>
      </c>
      <c r="B24" s="108"/>
      <c r="C24" s="173"/>
      <c r="D24" s="182"/>
      <c r="E24" s="178"/>
      <c r="F24" s="178"/>
      <c r="G24" s="183"/>
      <c r="H24" s="176"/>
      <c r="I24" s="167"/>
      <c r="J24" s="167"/>
      <c r="K24" s="170"/>
      <c r="L24" s="108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5"/>
      <c r="AU24" s="103"/>
      <c r="AV24" s="104"/>
    </row>
    <row r="25" spans="1:48" ht="24.75" thickTop="1" thickBot="1">
      <c r="A25" s="112" t="s">
        <v>37</v>
      </c>
      <c r="B25" s="108" t="s">
        <v>210</v>
      </c>
      <c r="C25" s="173">
        <v>1</v>
      </c>
      <c r="D25" s="182"/>
      <c r="E25" s="178">
        <v>1</v>
      </c>
      <c r="F25" s="178"/>
      <c r="G25" s="183"/>
      <c r="H25" s="176"/>
      <c r="I25" s="167">
        <v>1</v>
      </c>
      <c r="J25" s="167"/>
      <c r="K25" s="170"/>
      <c r="L25" s="108"/>
      <c r="M25" s="102"/>
      <c r="N25" s="102">
        <v>1</v>
      </c>
      <c r="O25" s="102"/>
      <c r="P25" s="102"/>
      <c r="Q25" s="102">
        <v>22</v>
      </c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>
        <v>1</v>
      </c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5"/>
      <c r="AU25" s="103"/>
      <c r="AV25" s="104">
        <v>4</v>
      </c>
    </row>
    <row r="26" spans="1:48" ht="24.75" thickTop="1" thickBot="1">
      <c r="A26" s="112" t="s">
        <v>38</v>
      </c>
      <c r="B26" s="108"/>
      <c r="C26" s="173"/>
      <c r="D26" s="182"/>
      <c r="E26" s="178"/>
      <c r="F26" s="178"/>
      <c r="G26" s="183"/>
      <c r="H26" s="176"/>
      <c r="I26" s="167"/>
      <c r="J26" s="167"/>
      <c r="K26" s="170"/>
      <c r="L26" s="108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5"/>
      <c r="AU26" s="103"/>
      <c r="AV26" s="104"/>
    </row>
    <row r="27" spans="1:48" ht="24.75" thickTop="1" thickBot="1">
      <c r="A27" s="112" t="s">
        <v>39</v>
      </c>
      <c r="B27" s="108"/>
      <c r="C27" s="173"/>
      <c r="D27" s="182"/>
      <c r="E27" s="178"/>
      <c r="F27" s="178"/>
      <c r="G27" s="183"/>
      <c r="H27" s="176"/>
      <c r="I27" s="167"/>
      <c r="J27" s="167"/>
      <c r="K27" s="170"/>
      <c r="L27" s="108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5"/>
      <c r="AU27" s="103"/>
      <c r="AV27" s="104"/>
    </row>
    <row r="28" spans="1:48" ht="24.75" thickTop="1" thickBot="1">
      <c r="A28" s="112" t="s">
        <v>40</v>
      </c>
      <c r="B28" s="108"/>
      <c r="C28" s="173"/>
      <c r="D28" s="182"/>
      <c r="E28" s="178"/>
      <c r="F28" s="178"/>
      <c r="G28" s="183"/>
      <c r="H28" s="176"/>
      <c r="I28" s="167"/>
      <c r="J28" s="167"/>
      <c r="K28" s="170"/>
      <c r="L28" s="108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5"/>
      <c r="AU28" s="103"/>
      <c r="AV28" s="104"/>
    </row>
    <row r="29" spans="1:48" ht="24.75" thickTop="1" thickBot="1">
      <c r="A29" s="112" t="s">
        <v>41</v>
      </c>
      <c r="B29" s="108"/>
      <c r="C29" s="173"/>
      <c r="D29" s="182"/>
      <c r="E29" s="178"/>
      <c r="F29" s="178"/>
      <c r="G29" s="183"/>
      <c r="H29" s="176"/>
      <c r="I29" s="167"/>
      <c r="J29" s="167"/>
      <c r="K29" s="170"/>
      <c r="L29" s="108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5"/>
      <c r="AU29" s="103"/>
      <c r="AV29" s="104"/>
    </row>
    <row r="30" spans="1:48" ht="24.75" thickTop="1" thickBot="1">
      <c r="A30" s="112" t="s">
        <v>42</v>
      </c>
      <c r="B30" s="109"/>
      <c r="C30" s="173"/>
      <c r="D30" s="182"/>
      <c r="E30" s="178"/>
      <c r="F30" s="178"/>
      <c r="G30" s="183"/>
      <c r="H30" s="176"/>
      <c r="I30" s="167"/>
      <c r="J30" s="167"/>
      <c r="K30" s="170"/>
      <c r="L30" s="108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5"/>
      <c r="AU30" s="103"/>
      <c r="AV30" s="104"/>
    </row>
    <row r="31" spans="1:48" ht="24.75" thickTop="1" thickBot="1">
      <c r="A31" s="112" t="s">
        <v>43</v>
      </c>
      <c r="B31" s="108"/>
      <c r="C31" s="173"/>
      <c r="D31" s="182"/>
      <c r="E31" s="178"/>
      <c r="F31" s="178"/>
      <c r="G31" s="183"/>
      <c r="H31" s="176"/>
      <c r="I31" s="167"/>
      <c r="J31" s="167"/>
      <c r="K31" s="170"/>
      <c r="L31" s="108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5"/>
      <c r="AU31" s="103"/>
      <c r="AV31" s="104"/>
    </row>
    <row r="32" spans="1:48" ht="24.75" thickTop="1" thickBot="1">
      <c r="A32" s="112" t="s">
        <v>44</v>
      </c>
      <c r="B32" s="110"/>
      <c r="C32" s="174"/>
      <c r="D32" s="184"/>
      <c r="E32" s="185"/>
      <c r="F32" s="185"/>
      <c r="G32" s="186"/>
      <c r="H32" s="177"/>
      <c r="I32" s="171"/>
      <c r="J32" s="171"/>
      <c r="K32" s="172"/>
      <c r="L32" s="110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63"/>
      <c r="AU32" s="103"/>
      <c r="AV32" s="107"/>
    </row>
    <row r="33" spans="1:48" ht="15.75" thickTop="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117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1"/>
      <c r="AV33" s="1"/>
    </row>
    <row r="34" spans="1:48" ht="21">
      <c r="A34" s="99" t="s">
        <v>55</v>
      </c>
      <c r="B34" s="99">
        <f>SUM(Tableau6[مكان الضبط])</f>
        <v>0</v>
      </c>
      <c r="C34" s="99">
        <f>SUM(Tableau6[عدد القضايا])</f>
        <v>3</v>
      </c>
      <c r="D34" s="99">
        <f>SUM(Tableau6[استهلاك مخدرات])</f>
        <v>1</v>
      </c>
      <c r="E34" s="99">
        <f>SUM(Tableau6[مسك مخدرات بغاية الترويج])</f>
        <v>2</v>
      </c>
      <c r="F34" s="99">
        <f>SUM(Tableau6[تهريب المخدرات])</f>
        <v>0</v>
      </c>
      <c r="G34" s="99">
        <f>SUM(Tableau6[ترويج مواد سمية])</f>
        <v>0</v>
      </c>
      <c r="H34" s="99">
        <f>SUM(Tableau6[استهلاك مخدرات2])</f>
        <v>2</v>
      </c>
      <c r="I34" s="99">
        <f>SUM(Tableau6[مسك مخدرات بغاية الترويج3])</f>
        <v>2</v>
      </c>
      <c r="J34" s="99">
        <f>SUM(Tableau6[تهريب المخدرات4])</f>
        <v>0</v>
      </c>
      <c r="K34" s="99">
        <f>SUM(Tableau6[ترويج مواد سمية2])</f>
        <v>0</v>
      </c>
      <c r="L34" s="99">
        <f>SUM(Tableau6[سيجارة محشوة])</f>
        <v>0</v>
      </c>
      <c r="M34" s="99">
        <f>SUM(Tableau6[غرام قنب هندي])</f>
        <v>0</v>
      </c>
      <c r="N34" s="99">
        <f>SUM(Tableau6[قطعة])</f>
        <v>1</v>
      </c>
      <c r="O34" s="99">
        <f>SUM(Tableau6[صفيحة قنب هندي])</f>
        <v>0</v>
      </c>
      <c r="P34" s="99">
        <f>SUM(Tableau6[كبسولة])</f>
        <v>0</v>
      </c>
      <c r="Q34" s="99">
        <f>SUM(Tableau6[قرص])</f>
        <v>22</v>
      </c>
      <c r="R34" s="99">
        <f>SUM(Tableau6[صفيحة أقراص])</f>
        <v>0</v>
      </c>
      <c r="S34" s="99">
        <f>SUM(Tableau6[غرام كوكايين])</f>
        <v>0</v>
      </c>
      <c r="T34" s="99">
        <f>SUM(Tableau6[لفافة])</f>
        <v>0</v>
      </c>
      <c r="U34" s="99" t="str">
        <f>U3&amp;U4&amp;U5&amp;U6&amp;U7&amp;U8&amp;U9&amp;U10&amp;U11&amp;U12&amp;U13&amp;U14&amp;U15&amp;U16&amp;U17&amp;U18&amp;U19&amp;U20&amp;U21&amp;U22&amp;U23&amp;U24&amp;U25&amp;U26&amp;U27&amp;U28&amp;U29&amp;U30&amp;U31&amp;U32</f>
        <v/>
      </c>
      <c r="V34" s="99">
        <f>SUM(Tableau6[غرام هيروين])</f>
        <v>0</v>
      </c>
      <c r="W34" s="99">
        <f>SUM(Tableau6[حقنة])</f>
        <v>0</v>
      </c>
      <c r="X34" s="99" t="str">
        <f>X3&amp;X4&amp;X5&amp;X6&amp;X7&amp;X8&amp;X9&amp;X10&amp;X11&amp;X12&amp;X13&amp;X14&amp;X15&amp;X16&amp;X17&amp;X18&amp;X19&amp;X20&amp;X21&amp;X22&amp;X23&amp;X24&amp;X25&amp;X26&amp;X27&amp;X28&amp;X29&amp;X30&amp;X31&amp;X32</f>
        <v/>
      </c>
      <c r="Y34" s="99">
        <f>SUM(Tableau6[غرام ماريخوانا])</f>
        <v>0</v>
      </c>
      <c r="Z34" s="99">
        <f>SUM(Tableau6[حبة])</f>
        <v>0</v>
      </c>
      <c r="AA34" s="99">
        <f>SUM(Tableau6[نبتة])</f>
        <v>0</v>
      </c>
      <c r="AB34" s="99" t="str">
        <f>AB3&amp;AB4&amp;AB5&amp;AB6&amp;AB7&amp;AB8&amp;AB9&amp;AB10&amp;AB11&amp;AB12&amp;AB13&amp;AB14&amp;AB15&amp;AB16&amp;AB17&amp;AB18&amp;AB19&amp;AB20&amp;AB21&amp;AB22&amp;AB23&amp;AB24&amp;AB25&amp;AB26&amp;AB27&amp;AB28&amp;AB29&amp;AB30&amp;AB31&amp;AB32</f>
        <v/>
      </c>
      <c r="AC34" s="99">
        <f>SUM(Tableau6[ورقة])</f>
        <v>0</v>
      </c>
      <c r="AD34" s="99">
        <f>SUM(Tableau6[علبة])</f>
        <v>0</v>
      </c>
      <c r="AE34" s="99">
        <f>SUM(Tableau6[سيارة])</f>
        <v>0</v>
      </c>
      <c r="AF34" s="99">
        <f>SUM(Tableau6[شاحنة])</f>
        <v>0</v>
      </c>
      <c r="AG34" s="99">
        <f>SUM(Tableau6[دراجة نارية])</f>
        <v>0</v>
      </c>
      <c r="AH34" s="99">
        <f>SUM(Tableau6[هاتف جوال])</f>
        <v>1</v>
      </c>
      <c r="AI34" s="99">
        <f>SUM(Tableau6[الة حادة])</f>
        <v>0</v>
      </c>
      <c r="AJ34" s="99">
        <f>SUM(Tableau6[غاز مشل للحركة])</f>
        <v>0</v>
      </c>
      <c r="AK34" s="99">
        <f>SUM(Tableau6[صحن])</f>
        <v>1</v>
      </c>
      <c r="AL34" s="99">
        <f>SUM(Tableau6[ميزان])</f>
        <v>1</v>
      </c>
      <c r="AM34" s="99">
        <f>SUM(Tableau6[بطاقة بنكية])</f>
        <v>0</v>
      </c>
      <c r="AN34" s="99">
        <f>SUM(Tableau6[بطاقة تعرف وطنية])</f>
        <v>0</v>
      </c>
      <c r="AO34" s="99">
        <f>SUM(Tableau6[علب جعة])</f>
        <v>0</v>
      </c>
      <c r="AP34" s="99">
        <f>SUM(Tableau6[بندقية صيد])</f>
        <v>0</v>
      </c>
      <c r="AQ34" s="99">
        <f>SUM(Tableau6[د.التونسي])</f>
        <v>84</v>
      </c>
      <c r="AR34" s="99">
        <f>SUM(Tableau6[الدولار])</f>
        <v>0</v>
      </c>
      <c r="AS34" s="99">
        <f>SUM(Tableau6[الأورو])</f>
        <v>0</v>
      </c>
      <c r="AT34" s="1"/>
      <c r="AU34" s="1"/>
      <c r="AV34" s="1"/>
    </row>
    <row r="40" spans="1:48" ht="26.25">
      <c r="H40" s="212" t="s">
        <v>138</v>
      </c>
      <c r="I40" s="212"/>
      <c r="J40" s="212"/>
      <c r="K40" s="212"/>
      <c r="L40" s="92"/>
      <c r="M40" s="92"/>
      <c r="N40" s="212" t="s">
        <v>139</v>
      </c>
      <c r="O40" s="212"/>
      <c r="P40" s="212"/>
      <c r="Q40" s="212"/>
      <c r="R40" s="92"/>
      <c r="S40" s="212" t="s">
        <v>175</v>
      </c>
      <c r="T40" s="212"/>
      <c r="U40" s="212"/>
      <c r="V40" s="212"/>
      <c r="W40" s="92"/>
      <c r="X40" s="212" t="s">
        <v>141</v>
      </c>
      <c r="Y40" s="212"/>
      <c r="Z40" s="212"/>
      <c r="AA40" s="212"/>
      <c r="AB40" s="92"/>
      <c r="AC40" s="212" t="s">
        <v>183</v>
      </c>
      <c r="AD40" s="212"/>
      <c r="AE40" s="212"/>
      <c r="AF40" s="212"/>
      <c r="AG40" s="212" t="s">
        <v>87</v>
      </c>
      <c r="AH40" s="212"/>
      <c r="AI40" s="212"/>
      <c r="AJ40" s="212"/>
      <c r="AK40" s="92"/>
      <c r="AL40" s="92"/>
      <c r="AM40" s="92"/>
      <c r="AN40" s="92"/>
    </row>
    <row r="41" spans="1:48">
      <c r="H41" s="213" t="str">
        <f>IF(L34=0,"",IF(L34=1,"-عدد 01 سيجارة محشوة بمخدر القنب الهندي  .",IF(AND(L34&gt;=2,L34&lt;=10),"- عدد "&amp;L34&amp;" سجائر محشوة بمخدر القنب الهندي  ."," - عدد "&amp;L34&amp;" سيجارة محشوة بمخدر القنب الهندي.")))</f>
        <v/>
      </c>
      <c r="I41" s="213"/>
      <c r="J41" s="213"/>
      <c r="K41" s="213"/>
      <c r="L41" s="92"/>
      <c r="M41" s="92"/>
      <c r="N41" s="213" t="str">
        <f>IF(Q34=0,"",IF(Q34=1,"-عدد 01 قرص مخدر  .",IF(AND(Q34&gt;=2,Q34&lt;=10),"- عدد "&amp;Q34&amp;" أقراص مخدرة  ."," - عدد "&amp;Q34&amp;" قرص مخدر.")))</f>
        <v xml:space="preserve"> - عدد 22 قرص مخدر.</v>
      </c>
      <c r="O41" s="213"/>
      <c r="P41" s="213"/>
      <c r="Q41" s="213"/>
      <c r="R41" s="92"/>
      <c r="S41" s="213" t="str">
        <f>IF(S34=0,""," - حوالي "&amp;S34&amp;" غرام من مخدر الكوكايين.")</f>
        <v/>
      </c>
      <c r="T41" s="213"/>
      <c r="U41" s="213"/>
      <c r="V41" s="213"/>
      <c r="W41" s="92"/>
      <c r="X41" s="213" t="str">
        <f>IF(V34=0,""," - حوالي "&amp;V34&amp;" غرام من مخدر الهيروين.")</f>
        <v/>
      </c>
      <c r="Y41" s="213"/>
      <c r="Z41" s="213"/>
      <c r="AA41" s="213"/>
      <c r="AB41" s="92"/>
      <c r="AC41" s="213" t="str">
        <f>IF(Y34=0,""," - حوالي "&amp;Y34&amp;" غرام من مخدر الماريخوانا.")</f>
        <v/>
      </c>
      <c r="AD41" s="213"/>
      <c r="AE41" s="213"/>
      <c r="AF41" s="213"/>
      <c r="AG41" s="213" t="str">
        <f>IF(OR(AB34=0,AB34=""),""," -  "&amp;AB34&amp;".")</f>
        <v/>
      </c>
      <c r="AH41" s="213"/>
      <c r="AI41" s="213"/>
      <c r="AJ41" s="213"/>
      <c r="AK41" s="92"/>
      <c r="AL41" s="92"/>
      <c r="AM41" s="92"/>
      <c r="AN41" s="92"/>
    </row>
    <row r="42" spans="1:48">
      <c r="H42" s="213" t="str">
        <f>IF(N34=0,"",IF(N34=1,"-عدد 01 قطعة من مخدر القنب الهندي  .",IF(AND(N34&gt;=2,N34&lt;=10),"- عدد "&amp;N34&amp;" قطع من مخدر القنب الهندي  ."," - عدد "&amp;N34&amp;" قطعة من مخدر القنب الهندي.")))</f>
        <v>-عدد 01 قطعة من مخدر القنب الهندي  .</v>
      </c>
      <c r="I42" s="213"/>
      <c r="J42" s="213"/>
      <c r="K42" s="213"/>
      <c r="L42" s="92"/>
      <c r="M42" s="92"/>
      <c r="N42" s="213" t="str">
        <f>IF(R34=0,"",IF(R34=1,"-عدد 01 صفيحة أقراص مخدر  .",IF(AND(R34&gt;=2,R34&lt;=10),"- عدد "&amp;R34&amp;" صفائح أقراص مخدرة  ."," - عدد "&amp;R34&amp;" صفيحة أقراص مخدر.")))</f>
        <v/>
      </c>
      <c r="O42" s="213"/>
      <c r="P42" s="213"/>
      <c r="Q42" s="213"/>
      <c r="R42" s="92"/>
      <c r="S42" s="213" t="str">
        <f>IF(T34=0,"",IF(T34=1,"-عدد 01 لفافة من مخدر الكوكايين  .",IF(AND(T34&gt;=2,T34&lt;=10),"- عدد "&amp;T34&amp;" لفافات من مخدر الكوكايين  ."," - عدد "&amp;T34&amp;" لفافة من مخدر الكوكايين.")))</f>
        <v/>
      </c>
      <c r="T42" s="213"/>
      <c r="U42" s="213"/>
      <c r="V42" s="213"/>
      <c r="W42" s="92"/>
      <c r="X42" s="213" t="str">
        <f>IF(W34=0,"",IF(W34=1,"-عدد 01 حقنة من مخدر الهيروين  .",IF(AND(W34&gt;=2,W34&lt;=10),"- عدد "&amp;W34&amp;" حقنات من مخدر الهيروين  ."," - عدد "&amp;W34&amp;" حقنة من مخدر الهيروين.")))</f>
        <v/>
      </c>
      <c r="Y42" s="213"/>
      <c r="Z42" s="213"/>
      <c r="AA42" s="213"/>
      <c r="AB42" s="92"/>
      <c r="AC42" s="213" t="str">
        <f>IF(Z34=0,"",IF(Z34=1,"-عدد 01 حبة من مخدر الماريخوانا  .",IF(AND(Z34&gt;=2,Z34&lt;=10),"- عدد "&amp;Z34&amp;" حبات من مخدر الماريخوانا  ."," - عدد "&amp;Z34&amp;" حبة من مخدر الماريخوانا.")))</f>
        <v/>
      </c>
      <c r="AD42" s="213"/>
      <c r="AE42" s="213"/>
      <c r="AF42" s="213"/>
      <c r="AG42" s="92"/>
      <c r="AH42" s="92"/>
      <c r="AI42" s="92"/>
      <c r="AJ42" s="92"/>
      <c r="AK42" s="92"/>
      <c r="AL42" s="92"/>
      <c r="AM42" s="92"/>
      <c r="AN42" s="92"/>
    </row>
    <row r="43" spans="1:48">
      <c r="H43" s="213" t="str">
        <f>IF(O34=0,"",IF(O34=1,"-عدد 01 صفيحة من مخدر القنب الهندي  .",IF(AND(O34&gt;=2,O34&lt;=10),"- عدد "&amp;O34&amp;" صفائح من مخدر القنب الهندي  ."," - عدد "&amp;O34&amp;" صفيحة من مخدر القنب الهندي.")))</f>
        <v/>
      </c>
      <c r="I43" s="213"/>
      <c r="J43" s="213"/>
      <c r="K43" s="213"/>
      <c r="L43" s="92"/>
      <c r="M43" s="92"/>
      <c r="N43" s="92"/>
      <c r="O43" s="92"/>
      <c r="P43" s="92"/>
      <c r="Q43" s="92"/>
      <c r="R43" s="92"/>
      <c r="S43" s="213" t="str">
        <f>IF(OR(U34=0,U34=""),""," -  "&amp;U34&amp;" من مخدر الكوكايين.")</f>
        <v/>
      </c>
      <c r="T43" s="213"/>
      <c r="U43" s="213"/>
      <c r="V43" s="213"/>
      <c r="W43" s="92"/>
      <c r="X43" s="213" t="str">
        <f>IF(OR(X34=0,X34=""),""," -  "&amp;X34&amp;" من مخدر الهيروين.")</f>
        <v/>
      </c>
      <c r="Y43" s="213"/>
      <c r="Z43" s="213"/>
      <c r="AA43" s="213"/>
      <c r="AB43" s="92"/>
      <c r="AC43" s="213" t="str">
        <f>IF(AA34=0,"",IF(AA34=1,"-عدد 01 نبتة  مخدر الماريخوانا  .",IF(AND(AA34&gt;=2,AA34&lt;=10),"- عدد "&amp;AA34&amp;" نبتات مخدر الماريخوانا  ."," - عدد "&amp;AA34&amp;" نبتة مخدر الماريخوانا.")))</f>
        <v/>
      </c>
      <c r="AD43" s="213"/>
      <c r="AE43" s="213"/>
      <c r="AF43" s="213"/>
      <c r="AG43" s="92"/>
      <c r="AH43" s="92"/>
      <c r="AI43" s="92"/>
      <c r="AJ43" s="92"/>
      <c r="AK43" s="92"/>
      <c r="AL43" s="92"/>
      <c r="AM43" s="92"/>
      <c r="AN43" s="92"/>
    </row>
    <row r="44" spans="1:48">
      <c r="H44" s="213" t="str">
        <f>IF(P34=0,"",IF(P34=1,"-عدد 01 كبسولة من مخدر القنب الهندي  .",IF(AND(P34&gt;=2,P34&lt;=10),"- عدد "&amp;P34&amp;" كبسولات من مخدر القنب الهندي  ."," - عدد "&amp;P34&amp;" كبسولة من مخدر القنب الهندي.")))</f>
        <v/>
      </c>
      <c r="I44" s="213"/>
      <c r="J44" s="213"/>
      <c r="K44" s="213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</row>
    <row r="45" spans="1:48">
      <c r="H45" s="211" t="str">
        <f>IF(M34=0,""," - حوالي "&amp;M34&amp;" غرام من مخدر القنب الهندي.")</f>
        <v/>
      </c>
      <c r="I45" s="211"/>
      <c r="J45" s="211"/>
      <c r="K45" s="211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</row>
    <row r="46" spans="1:48"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</row>
    <row r="47" spans="1:48" ht="15.75" thickBot="1"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</row>
    <row r="48" spans="1:48" ht="373.5" customHeight="1" thickBot="1">
      <c r="H48" s="92"/>
      <c r="I48" s="214" t="str">
        <f>IF(H41&lt;&gt;"",H41&amp;CHAR(10),"")&amp;IF(H42&lt;&gt;"",H42&amp;CHAR(10),"")&amp;IF(H45&lt;&gt;"",H45&amp;CHAR(10),"")&amp;IF(H43&lt;&gt;"",H43&amp;CHAR(10),"")&amp;IF(H44&lt;&gt;"",H44&amp;CHAR(10),"")&amp;IF(N41&lt;&gt;"",N41&amp;CHAR(10),"")&amp;IF(N42&lt;&gt;"",N42&amp;CHAR(10),"")&amp;IF(S41&lt;&gt;"",S41&amp;CHAR(10),"")&amp;IF(S42&lt;&gt;"",S42&amp;CHAR(10),"")&amp;IF(S43&lt;&gt;"",S43&amp;CHAR(10),"")&amp;IF(X41&lt;&gt;"",X41&amp;CHAR(10),"")&amp;IF(X42&lt;&gt;"",X42&amp;CHAR(10),"")&amp;IF(X43&lt;&gt;"",X43&amp;CHAR(10),"")&amp;IF(AC41&lt;&gt;"",AC41&amp;CHAR(10),"")&amp;IF(AC42&lt;&gt;"",AC42&amp;CHAR(10),"")&amp;IF(AG41&lt;&gt;"",AG41&amp;CHAR(10),"")&amp;IF(AC43&lt;&gt;"",AC43&amp;CHAR(10),"")</f>
        <v>-عدد 01 قطعة من مخدر القنب الهندي  . - عدد 22 قرص مخدر.</v>
      </c>
      <c r="J48" s="215"/>
      <c r="K48" s="215"/>
      <c r="L48" s="215"/>
      <c r="M48" s="215"/>
      <c r="N48" s="215"/>
      <c r="O48" s="216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</row>
  </sheetData>
  <sheetProtection formatCells="0" formatColumns="0" formatRows="0"/>
  <mergeCells count="25">
    <mergeCell ref="H41:K41"/>
    <mergeCell ref="H42:K42"/>
    <mergeCell ref="H43:K43"/>
    <mergeCell ref="S40:V40"/>
    <mergeCell ref="N42:Q42"/>
    <mergeCell ref="S41:V41"/>
    <mergeCell ref="S42:V42"/>
    <mergeCell ref="S43:V43"/>
    <mergeCell ref="N41:Q41"/>
    <mergeCell ref="S1:U1"/>
    <mergeCell ref="H45:K45"/>
    <mergeCell ref="AG40:AJ40"/>
    <mergeCell ref="AG41:AJ41"/>
    <mergeCell ref="I48:O48"/>
    <mergeCell ref="X40:AA40"/>
    <mergeCell ref="X41:AA41"/>
    <mergeCell ref="X42:AA42"/>
    <mergeCell ref="X43:AA43"/>
    <mergeCell ref="AC40:AF40"/>
    <mergeCell ref="AC41:AF41"/>
    <mergeCell ref="AC42:AF42"/>
    <mergeCell ref="AC43:AF43"/>
    <mergeCell ref="H44:K44"/>
    <mergeCell ref="H40:K40"/>
    <mergeCell ref="N40:Q40"/>
  </mergeCells>
  <pageMargins left="0.7" right="0.7" top="0.75" bottom="0.75" header="0.3" footer="0.3"/>
  <pageSetup paperSize="9" orientation="portrait" horizontalDpi="4294967293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2"/>
  <sheetViews>
    <sheetView rightToLeft="1" view="pageBreakPreview" zoomScale="80" zoomScaleNormal="80" zoomScaleSheetLayoutView="80" workbookViewId="0">
      <selection activeCell="D2" sqref="D2:AH3"/>
    </sheetView>
  </sheetViews>
  <sheetFormatPr baseColWidth="10" defaultRowHeight="15"/>
  <cols>
    <col min="1" max="1" width="18.28515625" customWidth="1"/>
    <col min="2" max="2" width="26.42578125" customWidth="1"/>
    <col min="3" max="3" width="11.85546875" bestFit="1" customWidth="1"/>
    <col min="4" max="4" width="11.140625" bestFit="1" customWidth="1"/>
    <col min="5" max="5" width="17.7109375" customWidth="1"/>
    <col min="6" max="6" width="12.28515625" customWidth="1"/>
    <col min="7" max="7" width="12.7109375" bestFit="1" customWidth="1"/>
    <col min="8" max="8" width="11.140625" bestFit="1" customWidth="1"/>
    <col min="9" max="9" width="18.28515625" customWidth="1"/>
    <col min="10" max="10" width="12.140625" bestFit="1" customWidth="1"/>
    <col min="11" max="11" width="11.7109375" customWidth="1"/>
    <col min="12" max="12" width="0.28515625" hidden="1" customWidth="1"/>
    <col min="13" max="13" width="3.5703125" hidden="1" customWidth="1"/>
    <col min="14" max="14" width="3.140625" hidden="1" customWidth="1"/>
    <col min="15" max="15" width="4.7109375" hidden="1" customWidth="1"/>
    <col min="16" max="16" width="0.140625" hidden="1" customWidth="1"/>
    <col min="17" max="17" width="19.7109375" customWidth="1"/>
    <col min="18" max="18" width="22.85546875" customWidth="1"/>
    <col min="19" max="19" width="11.28515625" hidden="1" customWidth="1"/>
    <col min="20" max="20" width="2.85546875" hidden="1" customWidth="1"/>
    <col min="21" max="21" width="20.140625" customWidth="1"/>
    <col min="22" max="22" width="9.5703125" hidden="1" customWidth="1"/>
    <col min="23" max="23" width="11" hidden="1" customWidth="1"/>
    <col min="24" max="24" width="13.42578125" hidden="1" customWidth="1"/>
    <col min="25" max="25" width="18" customWidth="1"/>
    <col min="26" max="26" width="8.85546875" hidden="1" customWidth="1"/>
    <col min="27" max="27" width="8.7109375" hidden="1" customWidth="1"/>
    <col min="28" max="28" width="6.42578125" hidden="1" customWidth="1"/>
    <col min="29" max="29" width="17.140625" customWidth="1"/>
    <col min="30" max="30" width="10.7109375" hidden="1" customWidth="1"/>
    <col min="31" max="31" width="10.28515625" hidden="1" customWidth="1"/>
    <col min="32" max="32" width="5" hidden="1" customWidth="1"/>
    <col min="33" max="33" width="11" customWidth="1"/>
    <col min="34" max="34" width="18.5703125" customWidth="1"/>
    <col min="35" max="35" width="0.42578125" hidden="1" customWidth="1"/>
    <col min="36" max="36" width="16.28515625" hidden="1" customWidth="1"/>
    <col min="37" max="37" width="12.42578125" hidden="1" customWidth="1"/>
    <col min="38" max="38" width="7" hidden="1" customWidth="1"/>
    <col min="39" max="39" width="7.28515625" hidden="1" customWidth="1"/>
    <col min="40" max="40" width="12.5703125" hidden="1" customWidth="1"/>
    <col min="41" max="41" width="11.5703125" hidden="1" customWidth="1"/>
    <col min="42" max="42" width="8.85546875" hidden="1" customWidth="1"/>
    <col min="43" max="43" width="12" hidden="1" customWidth="1"/>
    <col min="44" max="45" width="7" hidden="1" customWidth="1"/>
    <col min="46" max="46" width="9.28515625" hidden="1" customWidth="1"/>
    <col min="47" max="47" width="14.7109375" hidden="1" customWidth="1"/>
    <col min="48" max="48" width="9.85546875" hidden="1" customWidth="1"/>
    <col min="49" max="49" width="11.7109375" hidden="1" customWidth="1"/>
    <col min="50" max="50" width="10.7109375" hidden="1" customWidth="1"/>
    <col min="51" max="51" width="7.42578125" hidden="1" customWidth="1"/>
    <col min="52" max="52" width="5.140625" hidden="1" customWidth="1"/>
    <col min="53" max="53" width="0.140625" customWidth="1"/>
    <col min="54" max="54" width="48.28515625" customWidth="1"/>
  </cols>
  <sheetData>
    <row r="1" spans="1:54" ht="15.75" customHeight="1">
      <c r="A1" s="217" t="s">
        <v>52</v>
      </c>
      <c r="B1" s="217"/>
    </row>
    <row r="2" spans="1:54" ht="27.75" customHeight="1">
      <c r="A2" s="217" t="s">
        <v>53</v>
      </c>
      <c r="B2" s="217"/>
      <c r="D2" s="218" t="s">
        <v>203</v>
      </c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19"/>
    </row>
    <row r="3" spans="1:54" ht="27.75" customHeight="1">
      <c r="A3" s="220" t="s">
        <v>54</v>
      </c>
      <c r="B3" s="220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</row>
    <row r="4" spans="1:54" ht="39.75" customHeight="1" thickBot="1">
      <c r="A4" s="221" t="s">
        <v>209</v>
      </c>
      <c r="B4" s="221"/>
    </row>
    <row r="5" spans="1:54" ht="27" customHeight="1" thickBot="1">
      <c r="A5" s="222" t="s">
        <v>15</v>
      </c>
      <c r="B5" s="222" t="s">
        <v>144</v>
      </c>
      <c r="C5" s="239" t="s">
        <v>63</v>
      </c>
      <c r="D5" s="230" t="s">
        <v>136</v>
      </c>
      <c r="E5" s="230"/>
      <c r="F5" s="230"/>
      <c r="G5" s="231"/>
      <c r="H5" s="234" t="s">
        <v>137</v>
      </c>
      <c r="I5" s="230"/>
      <c r="J5" s="230"/>
      <c r="K5" s="231"/>
      <c r="Q5" s="239" t="s">
        <v>194</v>
      </c>
      <c r="R5" s="236" t="s">
        <v>180</v>
      </c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7"/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8"/>
    </row>
    <row r="6" spans="1:54" ht="21.75" customHeight="1" thickBot="1">
      <c r="A6" s="223"/>
      <c r="B6" s="223"/>
      <c r="C6" s="240"/>
      <c r="D6" s="232"/>
      <c r="E6" s="232"/>
      <c r="F6" s="232"/>
      <c r="G6" s="233"/>
      <c r="H6" s="235"/>
      <c r="I6" s="232"/>
      <c r="J6" s="232"/>
      <c r="K6" s="233"/>
      <c r="L6" s="89" t="s">
        <v>138</v>
      </c>
      <c r="M6" s="89"/>
      <c r="N6" s="83"/>
      <c r="O6" s="83"/>
      <c r="P6" s="83"/>
      <c r="Q6" s="240"/>
      <c r="R6" s="228" t="s">
        <v>138</v>
      </c>
      <c r="S6" s="84" t="s">
        <v>139</v>
      </c>
      <c r="T6" s="84"/>
      <c r="U6" s="228" t="s">
        <v>139</v>
      </c>
      <c r="V6" s="225" t="s">
        <v>140</v>
      </c>
      <c r="W6" s="226"/>
      <c r="X6" s="227"/>
      <c r="Y6" s="228" t="s">
        <v>175</v>
      </c>
      <c r="Z6" s="84" t="s">
        <v>141</v>
      </c>
      <c r="AA6" s="84"/>
      <c r="AB6" s="84"/>
      <c r="AC6" s="228" t="s">
        <v>141</v>
      </c>
      <c r="AD6" s="84" t="s">
        <v>142</v>
      </c>
      <c r="AE6" s="84"/>
      <c r="AF6" s="84"/>
      <c r="AG6" s="228" t="s">
        <v>142</v>
      </c>
      <c r="AH6" s="228" t="s">
        <v>87</v>
      </c>
      <c r="AI6" s="83" t="s">
        <v>143</v>
      </c>
      <c r="AJ6" s="83"/>
      <c r="AK6" s="83"/>
      <c r="AL6" s="84" t="s">
        <v>49</v>
      </c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242" t="s">
        <v>181</v>
      </c>
    </row>
    <row r="7" spans="1:54" ht="99" customHeight="1" thickTop="1" thickBot="1">
      <c r="A7" s="224"/>
      <c r="B7" s="224"/>
      <c r="C7" s="241"/>
      <c r="D7" s="90" t="s">
        <v>145</v>
      </c>
      <c r="E7" s="88" t="s">
        <v>146</v>
      </c>
      <c r="F7" s="88" t="s">
        <v>147</v>
      </c>
      <c r="G7" s="88" t="s">
        <v>148</v>
      </c>
      <c r="H7" s="88" t="s">
        <v>145</v>
      </c>
      <c r="I7" s="88" t="s">
        <v>146</v>
      </c>
      <c r="J7" s="88" t="s">
        <v>147</v>
      </c>
      <c r="K7" s="88" t="s">
        <v>148</v>
      </c>
      <c r="L7" s="85" t="s">
        <v>153</v>
      </c>
      <c r="M7" s="85" t="s">
        <v>158</v>
      </c>
      <c r="N7" s="85" t="s">
        <v>191</v>
      </c>
      <c r="O7" s="85" t="s">
        <v>155</v>
      </c>
      <c r="P7" s="85" t="s">
        <v>192</v>
      </c>
      <c r="Q7" s="241"/>
      <c r="R7" s="229"/>
      <c r="S7" s="85" t="s">
        <v>157</v>
      </c>
      <c r="T7" s="85" t="s">
        <v>155</v>
      </c>
      <c r="U7" s="229"/>
      <c r="V7" s="85" t="s">
        <v>158</v>
      </c>
      <c r="W7" s="85" t="s">
        <v>176</v>
      </c>
      <c r="X7" s="85" t="s">
        <v>159</v>
      </c>
      <c r="Y7" s="229"/>
      <c r="Z7" s="85" t="s">
        <v>158</v>
      </c>
      <c r="AA7" s="85" t="s">
        <v>160</v>
      </c>
      <c r="AB7" s="85" t="s">
        <v>156</v>
      </c>
      <c r="AC7" s="229"/>
      <c r="AD7" s="85" t="s">
        <v>158</v>
      </c>
      <c r="AE7" s="85" t="s">
        <v>177</v>
      </c>
      <c r="AF7" s="85" t="s">
        <v>162</v>
      </c>
      <c r="AG7" s="229"/>
      <c r="AH7" s="229" t="s">
        <v>87</v>
      </c>
      <c r="AI7" s="86" t="s">
        <v>178</v>
      </c>
      <c r="AJ7" s="86" t="s">
        <v>179</v>
      </c>
      <c r="AK7" s="86"/>
      <c r="AL7" s="85" t="s">
        <v>165</v>
      </c>
      <c r="AM7" s="85" t="s">
        <v>96</v>
      </c>
      <c r="AN7" s="85" t="s">
        <v>67</v>
      </c>
      <c r="AO7" s="85" t="s">
        <v>166</v>
      </c>
      <c r="AP7" s="85" t="s">
        <v>167</v>
      </c>
      <c r="AQ7" s="85" t="s">
        <v>168</v>
      </c>
      <c r="AR7" s="85" t="s">
        <v>169</v>
      </c>
      <c r="AS7" s="85" t="s">
        <v>170</v>
      </c>
      <c r="AT7" s="85" t="s">
        <v>171</v>
      </c>
      <c r="AU7" s="85" t="s">
        <v>172</v>
      </c>
      <c r="AV7" s="85" t="s">
        <v>173</v>
      </c>
      <c r="AW7" s="85" t="s">
        <v>129</v>
      </c>
      <c r="AX7" s="85" t="s">
        <v>4</v>
      </c>
      <c r="AY7" s="85" t="s">
        <v>66</v>
      </c>
      <c r="AZ7" s="85" t="s">
        <v>65</v>
      </c>
      <c r="BA7" s="87" t="s">
        <v>174</v>
      </c>
      <c r="BB7" s="243"/>
    </row>
    <row r="8" spans="1:54" ht="70.5" hidden="1" customHeight="1" thickTop="1" thickBot="1">
      <c r="A8" s="91"/>
      <c r="B8" s="91" t="str">
        <f>IF(ISBLANK($A8),"",IF(ISBLANK(VLOOKUP($A8,Tableau6[],2,FALSE)),"",VLOOKUP($A8,Tableau6[],2,FALSE)))</f>
        <v/>
      </c>
      <c r="C8" s="91" t="str">
        <f>IF(ISBLANK($A8),"",IF(ISBLANK(VLOOKUP($A8,Tableau6[],3,FALSE)),"",VLOOKUP($A8,Tableau6[],3,FALSE)))</f>
        <v/>
      </c>
      <c r="D8" s="118" t="str">
        <f>IF(ISBLANK($A8),"",IF(ISBLANK(VLOOKUP($A8,Tableau6[],4,FALSE)),"",VLOOKUP($A8,Tableau6[],4,FALSE)))</f>
        <v/>
      </c>
      <c r="E8" s="118" t="str">
        <f>IF(ISBLANK($A8),"",IF(ISBLANK(VLOOKUP($A8,Tableau6[],5,FALSE)),"",VLOOKUP($A8,Tableau6[],5,FALSE)))</f>
        <v/>
      </c>
      <c r="F8" s="118" t="str">
        <f>IF(ISBLANK($A8),"",IF(ISBLANK(VLOOKUP($A8,Tableau6[],6,FALSE)),"",VLOOKUP($A8,Tableau6[],6,FALSE)))</f>
        <v/>
      </c>
      <c r="G8" s="118" t="str">
        <f>IF(ISBLANK($A8),"",IF(ISBLANK(VLOOKUP($A8,Tableau6[],7,FALSE)),"",VLOOKUP($A8,Tableau6[],7,FALSE)))</f>
        <v/>
      </c>
      <c r="H8" s="118" t="str">
        <f>IF(ISBLANK($A8),"",IF(ISBLANK(VLOOKUP($A8,Tableau6[],8,FALSE)),"",VLOOKUP($A8,Tableau6[],8,FALSE)))</f>
        <v/>
      </c>
      <c r="I8" s="118" t="str">
        <f>IF(ISBLANK($A8),"",IF(ISBLANK(VLOOKUP($A8,Tableau6[],9,FALSE)),"",VLOOKUP($A8,Tableau6[],9,FALSE)))</f>
        <v/>
      </c>
      <c r="J8" s="118" t="str">
        <f>IF(ISBLANK($A8),"",IF(ISBLANK(VLOOKUP($A8,Tableau6[],10,FALSE)),"",VLOOKUP($A8,Tableau6[],10,FALSE)))</f>
        <v/>
      </c>
      <c r="K8" s="118" t="str">
        <f>IF(ISBLANK($A8),"",IF(ISBLANK(VLOOKUP($A8,Tableau6[],11,FALSE)),"",VLOOKUP($A8,Tableau6[],11,FALSE)))</f>
        <v/>
      </c>
      <c r="L8" s="118" t="str">
        <f>IF(ISBLANK($A8),"",IF(ISBLANK(VLOOKUP($A8,Tableau6[],12,FALSE)),"",VLOOKUP($A8,Tableau6[],12,FALSE)))</f>
        <v/>
      </c>
      <c r="M8" s="118" t="str">
        <f>IF(ISBLANK($A8),"",IF(ISBLANK(VLOOKUP($A8,Tableau6[],13,FALSE)),"",VLOOKUP($A8,Tableau6[],13,FALSE)))</f>
        <v/>
      </c>
      <c r="N8" s="118" t="str">
        <f>IF(ISBLANK($A8),"",IF(ISBLANK(VLOOKUP($A8,Tableau6[],14,FALSE)),"",VLOOKUP($A8,Tableau6[],14,FALSE)))</f>
        <v/>
      </c>
      <c r="O8" s="118" t="str">
        <f>IF(ISBLANK($A8),"",IF(ISBLANK(VLOOKUP($A8,Tableau6[],15,FALSE)),"",VLOOKUP($A8,Tableau6[],15,FALSE)))</f>
        <v/>
      </c>
      <c r="P8" s="118" t="str">
        <f>IF(ISBLANK($A8),"",IF(ISBLANK(VLOOKUP($A8,Tableau6[],16,FALSE)),"",VLOOKUP($A8,Tableau6[],16,FALSE)))</f>
        <v/>
      </c>
      <c r="Q8" s="119"/>
      <c r="R8" s="118" t="str">
        <f t="shared" ref="R8" si="0">IF(AND(OR(L8="",L8=0),OR(M8="",M8=0),OR(N8="",N8=0),OR(O8="",O8=0)*OR(P8="",P8=0)),"",TRIM(LEFT(IF(AND(L8&lt;&gt;"",L8&gt;0),L8&amp;" "&amp;$L$7&amp;" / ","")&amp;IF(AND(M8&lt;&gt;"",M8&gt;0),M8&amp;" "&amp;$M$7&amp;" / ","")&amp;IF(AND(N8&lt;&gt;"",N8&gt;0),N8&amp;" "&amp;$N$7&amp;" / ","")&amp;IF(AND(O8&lt;&gt;"",O8&gt;0),O8&amp;" "&amp;$O$7&amp;" / ","")&amp;IF(AND(P8&lt;&gt;"",P8&gt;0),P8&amp;" "&amp;$P$7&amp;" / ",""),LEN(IF(AND(L8&lt;&gt;"",L8&gt;0),L8&amp;" "&amp;$L$7&amp;" / ","")&amp;IF(AND(M8&lt;&gt;"",M8&gt;0),M8&amp;" "&amp;$M$7&amp;" / ","")&amp;IF(AND(N8&lt;&gt;"",N8&gt;0),N8&amp;" "&amp;$N$7&amp;" / ","")&amp;IF(AND(O8&lt;&gt;"",O8&gt;0),O8&amp;" "&amp;$O$7&amp;" / ","")&amp;IF(AND(P8&lt;&gt;"",P8&gt;0),P8&amp;" "&amp;$P$7&amp;" / ",""))-2)))</f>
        <v/>
      </c>
      <c r="S8" s="118" t="str">
        <f>IF(ISBLANK($A8),"",IF(ISBLANK(VLOOKUP($A8,Tableau6[],17,FALSE)),"",VLOOKUP($A8,Tableau6[],17,FALSE)))</f>
        <v/>
      </c>
      <c r="T8" s="118" t="str">
        <f>IF(ISBLANK($A8),"",IF(ISBLANK(VLOOKUP($A8,Tableau6[],18,FALSE)),"",VLOOKUP($A8,Tableau6[],18,FALSE)))</f>
        <v/>
      </c>
      <c r="U8" s="118" t="str">
        <f t="shared" ref="U8" si="1">IF(AND(OR(S8="",S8=0),OR(T8="",T8=0)),"",TRIM(LEFT(IF(AND(S8&lt;&gt;"",S8&gt;0),S8&amp;" "&amp;$S$7&amp;" / ","")&amp;IF(AND(T8&lt;&gt;"",T8&gt;0),T8&amp;" "&amp;$T$7&amp;" / ",""),LEN(IF(AND(S8&lt;&gt;"",S8&gt;0),S8&amp;" "&amp;$S$7&amp;" / ","")&amp;IF(AND(T8&lt;&gt;"",T8&gt;0),T8&amp;" "&amp;$T$7&amp;" / ",""))-2)))</f>
        <v/>
      </c>
      <c r="V8" s="118" t="str">
        <f>IF(ISBLANK($A8),"",IF(ISBLANK(VLOOKUP($A8,Tableau6[],19,FALSE)),"",VLOOKUP($A8,Tableau6[],19,FALSE)))</f>
        <v/>
      </c>
      <c r="W8" s="118" t="str">
        <f>IF(ISBLANK($A8),"",IF(ISBLANK(VLOOKUP($A8,Tableau6[],20,FALSE)),"",VLOOKUP($A8,Tableau6[],20,FALSE)))</f>
        <v/>
      </c>
      <c r="X8" s="118" t="str">
        <f>IF(ISBLANK($A8),"",IF(ISBLANK(VLOOKUP($A8,Tableau6[],21,FALSE)),"",VLOOKUP($A8,Tableau6[],21,FALSE)))</f>
        <v/>
      </c>
      <c r="Y8" s="118" t="str">
        <f t="shared" ref="Y8" si="2">IF(AND(OR(V8="",V8=0),OR(W8="",W8=0),OR(X8="",X8=0)),"",TRIM(LEFT(IF(AND(V8&lt;&gt;"",V8&gt;0),V8&amp;" "&amp;$V$7&amp;" / ","")&amp;IF(AND(W8&lt;&gt;"",W8&gt;0),W8&amp;" "&amp;$W$7&amp;" / ","")&amp;IF(AND(X8&lt;&gt;"",X8&gt;0),X8&amp;" "&amp;" / ",""),LEN(IF(AND(V8&lt;&gt;"",V8&gt;0),V8&amp;" "&amp;$V$7&amp;" / ","")&amp;IF(AND(W8&lt;&gt;"",W8&gt;0),W8&amp;" "&amp;$W$7&amp;" / ","")&amp;IF(AND(X8&lt;&gt;"",X8&gt;0),X8&amp;" "&amp;" / ",""))-2)))</f>
        <v/>
      </c>
      <c r="Z8" s="118" t="str">
        <f>IF(ISBLANK($A8),"",IF(ISBLANK(VLOOKUP($A8,Tableau6[],22,FALSE)),"",VLOOKUP($A8,Tableau6[],22,FALSE)))</f>
        <v/>
      </c>
      <c r="AA8" s="118" t="str">
        <f>IF(ISBLANK($A8),"",IF(ISBLANK(VLOOKUP($A8,Tableau6[],23,FALSE)),"",VLOOKUP($A8,Tableau6[],23,FALSE)))</f>
        <v/>
      </c>
      <c r="AB8" s="118" t="str">
        <f>IF(ISBLANK($A8),"",IF(ISBLANK(VLOOKUP($A8,Tableau6[],24,FALSE)),"",VLOOKUP($A8,Tableau6[],24,FALSE)))</f>
        <v/>
      </c>
      <c r="AC8" s="118" t="str">
        <f t="shared" ref="AC8" si="3">IF(AND(OR(Z8="",Z8=0),OR(AA8="",AA8=0),OR(AB8="",AB8=0)),"",TRIM(LEFT(IF(AND(Z8&lt;&gt;"",Z8&gt;0),Z8&amp;" "&amp;$Z$7&amp;" / ","")&amp;IF(AND(AA8&lt;&gt;"",AA8&gt;0),AA8&amp;" "&amp;$AA$7&amp;" / ","")&amp;IF(AND(AB8&lt;&gt;"",AB8&gt;0),AB8&amp;" "&amp;" / ",""),LEN(IF(AND(Z8&lt;&gt;"",Z8&gt;0),Z8&amp;" "&amp;$Z$7&amp;" / ","")&amp;IF(AND(AA8&lt;&gt;"",AA8&gt;0),AA8&amp;" "&amp;$AA$7&amp;" / ","")&amp;IF(AND(AB8&lt;&gt;"",AB8&gt;0),AB8&amp;" "&amp;" / ",""))-2)))</f>
        <v/>
      </c>
      <c r="AD8" s="118" t="str">
        <f>IF(ISBLANK($A8),"",IF(ISBLANK(VLOOKUP($A8,Tableau6[],25,FALSE)),"",VLOOKUP($A8,Tableau6[],25,FALSE)))</f>
        <v/>
      </c>
      <c r="AE8" s="118" t="str">
        <f>IF(ISBLANK($A8),"",IF(ISBLANK(VLOOKUP($A8,Tableau6[],26,FALSE)),"",VLOOKUP($A8,Tableau6[],26,FALSE)))</f>
        <v/>
      </c>
      <c r="AF8" s="118" t="str">
        <f>IF(ISBLANK($A8),"",IF(ISBLANK(VLOOKUP($A8,Tableau6[],27,FALSE)),"",VLOOKUP($A8,Tableau6[],27,FALSE)))</f>
        <v/>
      </c>
      <c r="AG8" s="118" t="str">
        <f t="shared" ref="AG8" si="4">IF(AND(OR(AD8="",AD8=0),OR(AE8="",AE8=0),OR(AF8="",AF8=0)),"",TRIM(LEFT(IF(AND(AD8&lt;&gt;"",AD8&gt;0),AD8&amp;" "&amp;$AD$7&amp;" / ","")&amp;IF(AND(AE8&lt;&gt;"",AE8&gt;0),AE8&amp;" "&amp;$AE$7&amp;" / ","")&amp;IF(AND(AF8&lt;&gt;"",AF8&gt;0),AF8&amp;" "&amp;$AF$7&amp;" / ",""),LEN(IF(AND(AD8&lt;&gt;"",AD8&gt;0),AD8&amp;" "&amp;$AD$7&amp;" / ","")&amp;IF(AND(AE8&lt;&gt;"",AE8&gt;0),AE8&amp;" "&amp;$AE$7&amp;" / ","")&amp;IF(AND(AF8&lt;&gt;"",AF8&gt;0),AF8&amp;" "&amp;$AF$7&amp;" / ",""))-2)))</f>
        <v/>
      </c>
      <c r="AH8" s="118" t="str">
        <f>IF(ISBLANK($A8),"",IF(ISBLANK(VLOOKUP($A8,Tableau6[],28,FALSE)),"",VLOOKUP($A8,Tableau6[],28,FALSE)))</f>
        <v/>
      </c>
      <c r="AI8" s="118" t="str">
        <f>IF(ISBLANK($A8),"",IF(ISBLANK(VLOOKUP($A8,Tableau6[],29,FALSE)),"",VLOOKUP($A8,Tableau6[],29,FALSE)))</f>
        <v/>
      </c>
      <c r="AJ8" s="118" t="str">
        <f>IF(ISBLANK($A8),"",IF(ISBLANK(VLOOKUP($A8,Tableau6[],30,FALSE)),"",VLOOKUP($A8,Tableau6[],30,FALSE)))</f>
        <v/>
      </c>
      <c r="AK8" s="118" t="str">
        <f t="shared" ref="AK8:AK12" si="5">IF(AND(OR(AI8="",AI8=0),OR(AJ8="",AJ8=0)),"",TRIM(LEFT(IF(AND(AI8&lt;&gt;"",AI8&gt;0),AI8&amp;" "&amp;$AI$7&amp;" / ","")&amp;IF(AND(AJ8&lt;&gt;"",AJ8&gt;0),AJ8&amp;" "&amp;$AJ$7&amp;" / ",""),LEN(IF(AND(AI8&lt;&gt;"",AI8&gt;0),AI8&amp;" "&amp;$AI$7&amp;" / ","")&amp;IF(AND(AJ8&lt;&gt;"",AJ8&gt;0),AJ8&amp;" "&amp;$AJ$7&amp;" / ",""))-2)))</f>
        <v/>
      </c>
      <c r="AL8" s="118" t="str">
        <f>IF(ISBLANK($A8),"",IF(ISBLANK(VLOOKUP($A8,Tableau6[],31,FALSE)),"",VLOOKUP($A8,Tableau6[],31,FALSE)))</f>
        <v/>
      </c>
      <c r="AM8" s="118" t="str">
        <f>IF(ISBLANK($A8),"",IF(ISBLANK(VLOOKUP($A8,Tableau6[],32,FALSE)),"",VLOOKUP($A8,Tableau6[],32,FALSE)))</f>
        <v/>
      </c>
      <c r="AN8" s="118" t="str">
        <f>IF(ISBLANK($A8),"",IF(ISBLANK(VLOOKUP($A8,Tableau6[],33,FALSE)),"",VLOOKUP($A8,Tableau6[],33,FALSE)))</f>
        <v/>
      </c>
      <c r="AO8" s="118" t="str">
        <f>IF(ISBLANK($A8),"",IF(ISBLANK(VLOOKUP($A8,Tableau6[],34,FALSE)),"",VLOOKUP($A8,Tableau6[],34,FALSE)))</f>
        <v/>
      </c>
      <c r="AP8" s="118" t="str">
        <f>IF(ISBLANK($A8),"",IF(ISBLANK(VLOOKUP($A8,Tableau6[],35,FALSE)),"",VLOOKUP($A8,Tableau6[],35,FALSE)))</f>
        <v/>
      </c>
      <c r="AQ8" s="118" t="str">
        <f>IF(ISBLANK($A8),"",IF(ISBLANK(VLOOKUP($A8,Tableau6[],36,FALSE)),"",VLOOKUP($A8,Tableau6[],36,FALSE)))</f>
        <v/>
      </c>
      <c r="AR8" s="118" t="str">
        <f>IF(ISBLANK($A8),"",IF(ISBLANK(VLOOKUP($A8,Tableau6[],37,FALSE)),"",VLOOKUP($A8,Tableau6[],37,FALSE)))</f>
        <v/>
      </c>
      <c r="AS8" s="118" t="str">
        <f>IF(ISBLANK($A8),"",IF(ISBLANK(VLOOKUP($A8,Tableau6[],38,FALSE)),"",VLOOKUP($A8,Tableau6[],38,FALSE)))</f>
        <v/>
      </c>
      <c r="AT8" s="118" t="str">
        <f>IF(ISBLANK($A8),"",IF(ISBLANK(VLOOKUP($A8,Tableau6[],39,FALSE)),"",VLOOKUP($A8,Tableau6[],39,FALSE)))</f>
        <v/>
      </c>
      <c r="AU8" s="118" t="str">
        <f>IF(ISBLANK($A8),"",IF(ISBLANK(VLOOKUP($A8,Tableau6[],40,FALSE)),"",VLOOKUP($A8,Tableau6[],40,FALSE)))</f>
        <v/>
      </c>
      <c r="AV8" s="118" t="str">
        <f>IF(ISBLANK($A8),"",IF(ISBLANK(VLOOKUP($A8,Tableau6[],41,FALSE)),"",VLOOKUP($A8,Tableau6[],41,FALSE)))</f>
        <v/>
      </c>
      <c r="AW8" s="118" t="str">
        <f>IF(ISBLANK($A8),"",IF(ISBLANK(VLOOKUP($A8,Tableau6[],42,FALSE)),"",VLOOKUP($A8,Tableau6[],42,FALSE)))</f>
        <v/>
      </c>
      <c r="AX8" s="118" t="str">
        <f>IF(ISBLANK($A8),"",IF(ISBLANK(VLOOKUP($A8,Tableau6[],43,FALSE)),"",VLOOKUP($A8,Tableau6[],43,FALSE)))</f>
        <v/>
      </c>
      <c r="AY8" s="118" t="str">
        <f>IF(ISBLANK($A8),"",IF(ISBLANK(VLOOKUP($A8,Tableau6[],44,FALSE)),"",VLOOKUP($A8,Tableau6[],44,FALSE)))</f>
        <v/>
      </c>
      <c r="AZ8" s="118" t="str">
        <f>IF(ISBLANK($A8),"",IF(ISBLANK(VLOOKUP($A8,Tableau6[],45,FALSE)),"",VLOOKUP($A8,Tableau6[],45,FALSE)))</f>
        <v/>
      </c>
      <c r="BA8" s="118" t="str">
        <f>IF(ISBLANK($A8),"",IF(ISBLANK(VLOOKUP($A8,Tableau6[],46,FALSE)),"",VLOOKUP($A8,Tableau6[],46,FALSE)))</f>
        <v/>
      </c>
      <c r="BB8" s="113" t="str">
        <f t="shared" ref="BB8" si="6">IF(AND(OR(AK8="",AK8=0),OR(AL8="",AL8=0),OR(AM8="",AM8=0),OR(AN8="",AN8=0),OR(AO8="",AO8=0),OR(AP8="",AP8=0),OR(AQ8="",AQ8=0),OR(AR8="",AR8=0),OR(AS8="",AS8=0),OR(AT8="",AT8=0),OR(AU8="",AU8=0),OR(AV8="",AV8=0),OR(AW8="",AW8=0),OR(AX8="",AX8=0),OR(AY8="",AY8=0),OR(AZ8="",AZ8=0),OR(BA8="",BA8=0)),"",TRIM(LEFT(IF(AND(AK8&lt;&gt;"",AK8&gt;0),AK8&amp;" "&amp;$AK$7&amp;" / ","")&amp;IF(AND(AL8&lt;&gt;"",AL8&gt;0),AL8&amp;" "&amp;$AL$7&amp;" / ","")&amp;IF(AND(AM8&lt;&gt;"",AM8&gt;0),AM8&amp;" "&amp;$AM$7&amp;" / ","")&amp;IF(AND(AN8&lt;&gt;"",AN8&gt;0),AN8&amp;" "&amp;$AN$7&amp;" / ","")&amp;IF(AND(AO8&lt;&gt;"",AO8&gt;0),AO8&amp;" "&amp;$AO$7&amp;" / ","")&amp;IF(AND(AP8&lt;&gt;"",AP8&gt;0),AP8&amp;" "&amp;$AP$7&amp;" / ","")&amp;IF(AND(AQ8&lt;&gt;"",AQ8&gt;0),AQ8&amp;" "&amp;$AQ$7&amp;" / ","")&amp;IF(AND(AR8&lt;&gt;"",AR8&gt;0),AR8&amp;" "&amp;$AR$7&amp;" / ","")&amp;IF(AND(AS8&lt;&gt;"",AS8&gt;0),AS8&amp;" "&amp;$AS$7&amp;" / ","")&amp;IF(AND(AT8&lt;&gt;"",AT8&gt;0),AT8&amp;" "&amp;$AT$7&amp;" / ","")&amp;IF(AND(AU8&lt;&gt;"",AU8&gt;0),AU8&amp;" "&amp;$AU$7&amp;" / ","")&amp;IF(AND(AV8&lt;&gt;"",AV8&gt;0),AV8&amp;" "&amp;$AV$7&amp;" / ","")&amp;IF(AND(AW8&lt;&gt;"",AW8&gt;0),AW8&amp;" "&amp;$AW$7&amp;" / ","")&amp;IF(AND(AX8&lt;&gt;"",AX8&gt;0),AX8&amp;" "&amp;$AX$7&amp;" / ","")&amp;IF(AND(AY8&lt;&gt;"",AY8&gt;0),AY8&amp;" "&amp;$AY$7&amp;" / ","")&amp;IF(AND(AZ8&lt;&gt;"",AZ8&gt;0),AZ8&amp;" "&amp;$AZ$7&amp;" / ","")&amp;IF(AND(BA8&lt;&gt;"",BA8&gt;0),BA8&amp;" "&amp;" / ",""),LEN(IF(AND(AK8&lt;&gt;"",AK8&gt;0),AK8&amp;" "&amp;$AK$7&amp;" / ","")&amp;IF(AND(AL8&lt;&gt;"",AL8&gt;0),AL8&amp;" "&amp;$AL$7&amp;" / ","")&amp;IF(AND(AM8&lt;&gt;"",AM8&gt;0),AM8&amp;" "&amp;$AM$7&amp;" / ","")&amp;IF(AND(AN8&lt;&gt;"",AN8&gt;0),AN8&amp;" "&amp;$AN$7&amp;" / ","")&amp;IF(AND(AO8&lt;&gt;"",AO8&gt;0),AO8&amp;" "&amp;$AO$7&amp;" / ","")&amp;IF(AND(AP8&lt;&gt;"",AP8&gt;0),AP8&amp;" "&amp;$AP$7&amp;" / ","")&amp;IF(AND(AQ8&lt;&gt;"",AQ8&gt;0),AQ8&amp;" "&amp;$AQ$7&amp;" / ","")&amp;IF(AND(AR8&lt;&gt;"",AR8&gt;0),AR8&amp;" "&amp;$AR$7&amp;" / ","")&amp;IF(AND(AS8&lt;&gt;"",AS8&gt;0),AS8&amp;" "&amp;$AS$7&amp;" / ","")&amp;IF(AND(AT8&lt;&gt;"",AT8&gt;0),AT8&amp;" "&amp;$AT$7&amp;" / ","")&amp;IF(AND(AU8&lt;&gt;"",AU8&gt;0),AU8&amp;" "&amp;$AU$7&amp;" / ","")&amp;IF(AND(AV8&lt;&gt;"",AV8&gt;0),AV8&amp;" "&amp;$AV$7&amp;" / ","")&amp;IF(AND(AW8&lt;&gt;"",AW8&gt;0),AW8&amp;" "&amp;$AW$7&amp;" / ","")&amp;IF(AND(AX8&lt;&gt;"",AX8&gt;0),AX8&amp;" "&amp;$AX$7&amp;" / ","")&amp;IF(AND(AY8&lt;&gt;"",AY8&gt;0),AY8&amp;" "&amp;$AY$7&amp;" / ","")&amp;IF(AND(AZ8&lt;&gt;"",AZ8&gt;0),AZ8&amp;" "&amp;$AZ$7&amp;" / ","")&amp;IF(AND(BA8&lt;&gt;"",BA8&gt;0),BA8&amp;" "" / ",""))-2)))</f>
        <v/>
      </c>
    </row>
    <row r="9" spans="1:54" ht="75" customHeight="1" thickTop="1" thickBot="1">
      <c r="A9" s="91" t="s">
        <v>26</v>
      </c>
      <c r="B9" s="91" t="str">
        <f>IF(ISBLANK($A9),"",IF(ISBLANK(VLOOKUP($A9,Tableau6[],2,FALSE)),"",VLOOKUP($A9,Tableau6[],2,FALSE)))</f>
        <v>حي الشباب</v>
      </c>
      <c r="C9" s="91">
        <f>IF(ISBLANK($A9),"",IF(ISBLANK(VLOOKUP($A9,Tableau6[],3,FALSE)),"",VLOOKUP($A9,Tableau6[],3,FALSE)))</f>
        <v>1</v>
      </c>
      <c r="D9" s="203" t="str">
        <f>IF(ISBLANK($A9),"",IF(ISBLANK(VLOOKUP($A9,Tableau6[],4,FALSE)),"",VLOOKUP($A9,Tableau6[],4,FALSE)))</f>
        <v/>
      </c>
      <c r="E9" s="203">
        <f>IF(ISBLANK($A9),"",IF(ISBLANK(VLOOKUP($A9,Tableau6[],5,FALSE)),"",VLOOKUP($A9,Tableau6[],5,FALSE)))</f>
        <v>1</v>
      </c>
      <c r="F9" s="203" t="str">
        <f>IF(ISBLANK($A9),"",IF(ISBLANK(VLOOKUP($A9,Tableau6[],6,FALSE)),"",VLOOKUP($A9,Tableau6[],6,FALSE)))</f>
        <v/>
      </c>
      <c r="G9" s="203" t="str">
        <f>IF(ISBLANK($A9),"",IF(ISBLANK(VLOOKUP($A9,Tableau6[],7,FALSE)),"",VLOOKUP($A9,Tableau6[],7,FALSE)))</f>
        <v/>
      </c>
      <c r="H9" s="203" t="str">
        <f>IF(ISBLANK($A9),"",IF(ISBLANK(VLOOKUP($A9,Tableau6[],8,FALSE)),"",VLOOKUP($A9,Tableau6[],8,FALSE)))</f>
        <v/>
      </c>
      <c r="I9" s="203">
        <f>IF(ISBLANK($A9),"",IF(ISBLANK(VLOOKUP($A9,Tableau6[],9,FALSE)),"",VLOOKUP($A9,Tableau6[],9,FALSE)))</f>
        <v>1</v>
      </c>
      <c r="J9" s="203" t="str">
        <f>IF(ISBLANK($A9),"",IF(ISBLANK(VLOOKUP($A9,Tableau6[],10,FALSE)),"",VLOOKUP($A9,Tableau6[],10,FALSE)))</f>
        <v/>
      </c>
      <c r="K9" s="203" t="str">
        <f>IF(ISBLANK($A9),"",IF(ISBLANK(VLOOKUP($A9,Tableau6[],11,FALSE)),"",VLOOKUP($A9,Tableau6[],11,FALSE)))</f>
        <v/>
      </c>
      <c r="L9" s="203" t="str">
        <f>IF(ISBLANK($A9),"",IF(ISBLANK(VLOOKUP($A9,Tableau6[],12,FALSE)),"",VLOOKUP($A9,Tableau6[],12,FALSE)))</f>
        <v/>
      </c>
      <c r="M9" s="203" t="str">
        <f>IF(ISBLANK($A9),"",IF(ISBLANK(VLOOKUP($A9,Tableau6[],13,FALSE)),"",VLOOKUP($A9,Tableau6[],13,FALSE)))</f>
        <v/>
      </c>
      <c r="N9" s="203" t="str">
        <f>IF(ISBLANK($A9),"",IF(ISBLANK(VLOOKUP($A9,Tableau6[],14,FALSE)),"",VLOOKUP($A9,Tableau6[],14,FALSE)))</f>
        <v/>
      </c>
      <c r="O9" s="203" t="str">
        <f>IF(ISBLANK($A9),"",IF(ISBLANK(VLOOKUP($A9,Tableau6[],15,FALSE)),"",VLOOKUP($A9,Tableau6[],15,FALSE)))</f>
        <v/>
      </c>
      <c r="P9" s="203" t="str">
        <f>IF(ISBLANK($A9),"",IF(ISBLANK(VLOOKUP($A9,Tableau6[],16,FALSE)),"",VLOOKUP($A9,Tableau6[],16,FALSE)))</f>
        <v/>
      </c>
      <c r="Q9" s="203"/>
      <c r="R9" s="203" t="str">
        <f t="shared" ref="R9" si="7">IF(AND(OR(L9="",L9=0),OR(M9="",M9=0),OR(N9="",N9=0),OR(O9="",O9=0)*OR(P9="",P9=0)),"",TRIM(LEFT(IF(AND(L9&lt;&gt;"",L9&gt;0),L9&amp;" "&amp;$L$7&amp;" / ","")&amp;IF(AND(M9&lt;&gt;"",M9&gt;0),M9&amp;" "&amp;$M$7&amp;" / ","")&amp;IF(AND(N9&lt;&gt;"",N9&gt;0),N9&amp;" "&amp;$N$7&amp;" / ","")&amp;IF(AND(O9&lt;&gt;"",O9&gt;0),O9&amp;" "&amp;$O$7&amp;" / ","")&amp;IF(AND(P9&lt;&gt;"",P9&gt;0),P9&amp;" "&amp;$P$7&amp;" / ",""),LEN(IF(AND(L9&lt;&gt;"",L9&gt;0),L9&amp;" "&amp;$L$7&amp;" / ","")&amp;IF(AND(M9&lt;&gt;"",M9&gt;0),M9&amp;" "&amp;$M$7&amp;" / ","")&amp;IF(AND(N9&lt;&gt;"",N9&gt;0),N9&amp;" "&amp;$N$7&amp;" / ","")&amp;IF(AND(O9&lt;&gt;"",O9&gt;0),O9&amp;" "&amp;$O$7&amp;" / ","")&amp;IF(AND(P9&lt;&gt;"",P9&gt;0),P9&amp;" "&amp;$P$7&amp;" / ",""))-2)))</f>
        <v/>
      </c>
      <c r="S9" s="203" t="str">
        <f>IF(ISBLANK($A9),"",IF(ISBLANK(VLOOKUP($A9,Tableau6[],17,FALSE)),"",VLOOKUP($A9,Tableau6[],17,FALSE)))</f>
        <v/>
      </c>
      <c r="T9" s="203" t="str">
        <f>IF(ISBLANK($A9),"",IF(ISBLANK(VLOOKUP($A9,Tableau6[],18,FALSE)),"",VLOOKUP($A9,Tableau6[],18,FALSE)))</f>
        <v/>
      </c>
      <c r="U9" s="203" t="str">
        <f t="shared" ref="U9" si="8">IF(AND(OR(S9="",S9=0),OR(T9="",T9=0)),"",TRIM(LEFT(IF(AND(S9&lt;&gt;"",S9&gt;0),S9&amp;" "&amp;$S$7&amp;" / ","")&amp;IF(AND(T9&lt;&gt;"",T9&gt;0),T9&amp;" "&amp;$T$7&amp;" / ",""),LEN(IF(AND(S9&lt;&gt;"",S9&gt;0),S9&amp;" "&amp;$S$7&amp;" / ","")&amp;IF(AND(T9&lt;&gt;"",T9&gt;0),T9&amp;" "&amp;$T$7&amp;" / ",""))-2)))</f>
        <v/>
      </c>
      <c r="V9" s="203" t="str">
        <f>IF(ISBLANK($A9),"",IF(ISBLANK(VLOOKUP($A9,Tableau6[],19,FALSE)),"",VLOOKUP($A9,Tableau6[],19,FALSE)))</f>
        <v/>
      </c>
      <c r="W9" s="203" t="str">
        <f>IF(ISBLANK($A9),"",IF(ISBLANK(VLOOKUP($A9,Tableau6[],20,FALSE)),"",VLOOKUP($A9,Tableau6[],20,FALSE)))</f>
        <v/>
      </c>
      <c r="X9" s="203" t="str">
        <f>IF(ISBLANK($A9),"",IF(ISBLANK(VLOOKUP($A9,Tableau6[],21,FALSE)),"",VLOOKUP($A9,Tableau6[],21,FALSE)))</f>
        <v/>
      </c>
      <c r="Y9" s="203" t="str">
        <f t="shared" ref="Y9" si="9">IF(AND(OR(V9="",V9=0),OR(W9="",W9=0),OR(X9="",X9=0)),"",TRIM(LEFT(IF(AND(V9&lt;&gt;"",V9&gt;0),V9&amp;" "&amp;$V$7&amp;" / ","")&amp;IF(AND(W9&lt;&gt;"",W9&gt;0),W9&amp;" "&amp;$W$7&amp;" / ","")&amp;IF(AND(X9&lt;&gt;"",X9&gt;0),X9&amp;" "&amp;" / ",""),LEN(IF(AND(V9&lt;&gt;"",V9&gt;0),V9&amp;" "&amp;$V$7&amp;" / ","")&amp;IF(AND(W9&lt;&gt;"",W9&gt;0),W9&amp;" "&amp;$W$7&amp;" / ","")&amp;IF(AND(X9&lt;&gt;"",X9&gt;0),X9&amp;" "&amp;" / ",""))-2)))</f>
        <v/>
      </c>
      <c r="Z9" s="203" t="str">
        <f>IF(ISBLANK($A9),"",IF(ISBLANK(VLOOKUP($A9,Tableau6[],22,FALSE)),"",VLOOKUP($A9,Tableau6[],22,FALSE)))</f>
        <v/>
      </c>
      <c r="AA9" s="203" t="str">
        <f>IF(ISBLANK($A9),"",IF(ISBLANK(VLOOKUP($A9,Tableau6[],23,FALSE)),"",VLOOKUP($A9,Tableau6[],23,FALSE)))</f>
        <v/>
      </c>
      <c r="AB9" s="203" t="str">
        <f>IF(ISBLANK($A9),"",IF(ISBLANK(VLOOKUP($A9,Tableau6[],24,FALSE)),"",VLOOKUP($A9,Tableau6[],24,FALSE)))</f>
        <v/>
      </c>
      <c r="AC9" s="203" t="str">
        <f t="shared" ref="AC9" si="10">IF(AND(OR(Z9="",Z9=0),OR(AA9="",AA9=0),OR(AB9="",AB9=0)),"",TRIM(LEFT(IF(AND(Z9&lt;&gt;"",Z9&gt;0),Z9&amp;" "&amp;$Z$7&amp;" / ","")&amp;IF(AND(AA9&lt;&gt;"",AA9&gt;0),AA9&amp;" "&amp;$AA$7&amp;" / ","")&amp;IF(AND(AB9&lt;&gt;"",AB9&gt;0),AB9&amp;" "&amp;" / ",""),LEN(IF(AND(Z9&lt;&gt;"",Z9&gt;0),Z9&amp;" "&amp;$Z$7&amp;" / ","")&amp;IF(AND(AA9&lt;&gt;"",AA9&gt;0),AA9&amp;" "&amp;$AA$7&amp;" / ","")&amp;IF(AND(AB9&lt;&gt;"",AB9&gt;0),AB9&amp;" "&amp;" / ",""))-2)))</f>
        <v/>
      </c>
      <c r="AD9" s="203" t="str">
        <f>IF(ISBLANK($A9),"",IF(ISBLANK(VLOOKUP($A9,Tableau6[],25,FALSE)),"",VLOOKUP($A9,Tableau6[],25,FALSE)))</f>
        <v/>
      </c>
      <c r="AE9" s="203" t="str">
        <f>IF(ISBLANK($A9),"",IF(ISBLANK(VLOOKUP($A9,Tableau6[],26,FALSE)),"",VLOOKUP($A9,Tableau6[],26,FALSE)))</f>
        <v/>
      </c>
      <c r="AF9" s="203" t="str">
        <f>IF(ISBLANK($A9),"",IF(ISBLANK(VLOOKUP($A9,Tableau6[],27,FALSE)),"",VLOOKUP($A9,Tableau6[],27,FALSE)))</f>
        <v/>
      </c>
      <c r="AG9" s="203" t="str">
        <f t="shared" ref="AG9" si="11">IF(AND(OR(AD9="",AD9=0),OR(AE9="",AE9=0),OR(AF9="",AF9=0)),"",TRIM(LEFT(IF(AND(AD9&lt;&gt;"",AD9&gt;0),AD9&amp;" "&amp;$AD$7&amp;" / ","")&amp;IF(AND(AE9&lt;&gt;"",AE9&gt;0),AE9&amp;" "&amp;$AE$7&amp;" / ","")&amp;IF(AND(AF9&lt;&gt;"",AF9&gt;0),AF9&amp;" "&amp;$AF$7&amp;" / ",""),LEN(IF(AND(AD9&lt;&gt;"",AD9&gt;0),AD9&amp;" "&amp;$AD$7&amp;" / ","")&amp;IF(AND(AE9&lt;&gt;"",AE9&gt;0),AE9&amp;" "&amp;$AE$7&amp;" / ","")&amp;IF(AND(AF9&lt;&gt;"",AF9&gt;0),AF9&amp;" "&amp;$AF$7&amp;" / ",""))-2)))</f>
        <v/>
      </c>
      <c r="AH9" s="189" t="str">
        <f>IF(ISBLANK($A9),"",IF(ISBLANK(VLOOKUP($A9,Tableau6[],28,FALSE)),"",VLOOKUP($A9,Tableau6[],28,FALSE)))</f>
        <v/>
      </c>
      <c r="AI9" s="203" t="str">
        <f>IF(ISBLANK($A9),"",IF(ISBLANK(VLOOKUP($A9,Tableau6[],29,FALSE)),"",VLOOKUP($A9,Tableau6[],29,FALSE)))</f>
        <v/>
      </c>
      <c r="AJ9" s="203" t="str">
        <f>IF(ISBLANK($A9),"",IF(ISBLANK(VLOOKUP($A9,Tableau6[],30,FALSE)),"",VLOOKUP($A9,Tableau6[],30,FALSE)))</f>
        <v/>
      </c>
      <c r="AK9" s="203" t="str">
        <f t="shared" ref="AK9" si="12">IF(AND(OR(AI9="",AI9=0),OR(AJ9="",AJ9=0)),"",TRIM(LEFT(IF(AND(AI9&lt;&gt;"",AI9&gt;0),AI9&amp;" "&amp;$AI$7&amp;" / ","")&amp;IF(AND(AJ9&lt;&gt;"",AJ9&gt;0),AJ9&amp;" "&amp;$AJ$7&amp;" / ",""),LEN(IF(AND(AI9&lt;&gt;"",AI9&gt;0),AI9&amp;" "&amp;$AI$7&amp;" / ","")&amp;IF(AND(AJ9&lt;&gt;"",AJ9&gt;0),AJ9&amp;" "&amp;$AJ$7&amp;" / ",""))-2)))</f>
        <v/>
      </c>
      <c r="AL9" s="203" t="str">
        <f>IF(ISBLANK($A9),"",IF(ISBLANK(VLOOKUP($A9,Tableau6[],31,FALSE)),"",VLOOKUP($A9,Tableau6[],31,FALSE)))</f>
        <v/>
      </c>
      <c r="AM9" s="203" t="str">
        <f>IF(ISBLANK($A9),"",IF(ISBLANK(VLOOKUP($A9,Tableau6[],32,FALSE)),"",VLOOKUP($A9,Tableau6[],32,FALSE)))</f>
        <v/>
      </c>
      <c r="AN9" s="203" t="str">
        <f>IF(ISBLANK($A9),"",IF(ISBLANK(VLOOKUP($A9,Tableau6[],33,FALSE)),"",VLOOKUP($A9,Tableau6[],33,FALSE)))</f>
        <v/>
      </c>
      <c r="AO9" s="203" t="str">
        <f>IF(ISBLANK($A9),"",IF(ISBLANK(VLOOKUP($A9,Tableau6[],34,FALSE)),"",VLOOKUP($A9,Tableau6[],34,FALSE)))</f>
        <v/>
      </c>
      <c r="AP9" s="203" t="str">
        <f>IF(ISBLANK($A9),"",IF(ISBLANK(VLOOKUP($A9,Tableau6[],35,FALSE)),"",VLOOKUP($A9,Tableau6[],35,FALSE)))</f>
        <v/>
      </c>
      <c r="AQ9" s="203" t="str">
        <f>IF(ISBLANK($A9),"",IF(ISBLANK(VLOOKUP($A9,Tableau6[],36,FALSE)),"",VLOOKUP($A9,Tableau6[],36,FALSE)))</f>
        <v/>
      </c>
      <c r="AR9" s="203" t="str">
        <f>IF(ISBLANK($A9),"",IF(ISBLANK(VLOOKUP($A9,Tableau6[],37,FALSE)),"",VLOOKUP($A9,Tableau6[],37,FALSE)))</f>
        <v/>
      </c>
      <c r="AS9" s="203">
        <f>IF(ISBLANK($A9),"",IF(ISBLANK(VLOOKUP($A9,Tableau6[],38,FALSE)),"",VLOOKUP($A9,Tableau6[],38,FALSE)))</f>
        <v>1</v>
      </c>
      <c r="AT9" s="203" t="str">
        <f>IF(ISBLANK($A9),"",IF(ISBLANK(VLOOKUP($A9,Tableau6[],39,FALSE)),"",VLOOKUP($A9,Tableau6[],39,FALSE)))</f>
        <v/>
      </c>
      <c r="AU9" s="203" t="str">
        <f>IF(ISBLANK($A9),"",IF(ISBLANK(VLOOKUP($A9,Tableau6[],40,FALSE)),"",VLOOKUP($A9,Tableau6[],40,FALSE)))</f>
        <v/>
      </c>
      <c r="AV9" s="203" t="str">
        <f>IF(ISBLANK($A9),"",IF(ISBLANK(VLOOKUP($A9,Tableau6[],41,FALSE)),"",VLOOKUP($A9,Tableau6[],41,FALSE)))</f>
        <v/>
      </c>
      <c r="AW9" s="203" t="str">
        <f>IF(ISBLANK($A9),"",IF(ISBLANK(VLOOKUP($A9,Tableau6[],42,FALSE)),"",VLOOKUP($A9,Tableau6[],42,FALSE)))</f>
        <v/>
      </c>
      <c r="AX9" s="203">
        <f>IF(ISBLANK($A9),"",IF(ISBLANK(VLOOKUP($A9,Tableau6[],43,FALSE)),"",VLOOKUP($A9,Tableau6[],43,FALSE)))</f>
        <v>84</v>
      </c>
      <c r="AY9" s="203" t="str">
        <f>IF(ISBLANK($A9),"",IF(ISBLANK(VLOOKUP($A9,Tableau6[],44,FALSE)),"",VLOOKUP($A9,Tableau6[],44,FALSE)))</f>
        <v/>
      </c>
      <c r="AZ9" s="203" t="str">
        <f>IF(ISBLANK($A9),"",IF(ISBLANK(VLOOKUP($A9,Tableau6[],45,FALSE)),"",VLOOKUP($A9,Tableau6[],45,FALSE)))</f>
        <v/>
      </c>
      <c r="BA9" s="203" t="str">
        <f>IF(ISBLANK($A9),"",IF(ISBLANK(VLOOKUP($A9,Tableau6[],46,FALSE)),"",VLOOKUP($A9,Tableau6[],46,FALSE)))</f>
        <v/>
      </c>
      <c r="BB9" s="113" t="str">
        <f t="shared" ref="BB9" si="13">IF(AND(OR(AK9="",AK9=0),OR(AL9="",AL9=0),OR(AM9="",AM9=0),OR(AN9="",AN9=0),OR(AO9="",AO9=0),OR(AP9="",AP9=0),OR(AQ9="",AQ9=0),OR(AR9="",AR9=0),OR(AS9="",AS9=0),OR(AT9="",AT9=0),OR(AU9="",AU9=0),OR(AV9="",AV9=0),OR(AW9="",AW9=0),OR(AX9="",AX9=0),OR(AY9="",AY9=0),OR(AZ9="",AZ9=0),OR(BA9="",BA9=0)),"",TRIM(LEFT(IF(AND(AK9&lt;&gt;"",AK9&gt;0),AK9&amp;" "&amp;$AK$7&amp;" / ","")&amp;IF(AND(AL9&lt;&gt;"",AL9&gt;0),AL9&amp;" "&amp;$AL$7&amp;" / ","")&amp;IF(AND(AM9&lt;&gt;"",AM9&gt;0),AM9&amp;" "&amp;$AM$7&amp;" / ","")&amp;IF(AND(AN9&lt;&gt;"",AN9&gt;0),AN9&amp;" "&amp;$AN$7&amp;" / ","")&amp;IF(AND(AO9&lt;&gt;"",AO9&gt;0),AO9&amp;" "&amp;$AO$7&amp;" / ","")&amp;IF(AND(AP9&lt;&gt;"",AP9&gt;0),AP9&amp;" "&amp;$AP$7&amp;" / ","")&amp;IF(AND(AQ9&lt;&gt;"",AQ9&gt;0),AQ9&amp;" "&amp;$AQ$7&amp;" / ","")&amp;IF(AND(AR9&lt;&gt;"",AR9&gt;0),AR9&amp;" "&amp;$AR$7&amp;" / ","")&amp;IF(AND(AS9&lt;&gt;"",AS9&gt;0),AS9&amp;" "&amp;$AS$7&amp;" / ","")&amp;IF(AND(AT9&lt;&gt;"",AT9&gt;0),AT9&amp;" "&amp;$AT$7&amp;" / ","")&amp;IF(AND(AU9&lt;&gt;"",AU9&gt;0),AU9&amp;" "&amp;$AU$7&amp;" / ","")&amp;IF(AND(AV9&lt;&gt;"",AV9&gt;0),AV9&amp;" "&amp;$AV$7&amp;" / ","")&amp;IF(AND(AW9&lt;&gt;"",AW9&gt;0),AW9&amp;" "&amp;$AW$7&amp;" / ","")&amp;IF(AND(AX9&lt;&gt;"",AX9&gt;0),AX9&amp;" "&amp;$AX$7&amp;" / ","")&amp;IF(AND(AY9&lt;&gt;"",AY9&gt;0),AY9&amp;" "&amp;$AY$7&amp;" / ","")&amp;IF(AND(AZ9&lt;&gt;"",AZ9&gt;0),AZ9&amp;" "&amp;$AZ$7&amp;" / ","")&amp;IF(AND(BA9&lt;&gt;"",BA9&gt;0),BA9&amp;" "&amp;" / ",""),LEN(IF(AND(AK9&lt;&gt;"",AK9&gt;0),AK9&amp;" "&amp;$AK$7&amp;" / ","")&amp;IF(AND(AL9&lt;&gt;"",AL9&gt;0),AL9&amp;" "&amp;$AL$7&amp;" / ","")&amp;IF(AND(AM9&lt;&gt;"",AM9&gt;0),AM9&amp;" "&amp;$AM$7&amp;" / ","")&amp;IF(AND(AN9&lt;&gt;"",AN9&gt;0),AN9&amp;" "&amp;$AN$7&amp;" / ","")&amp;IF(AND(AO9&lt;&gt;"",AO9&gt;0),AO9&amp;" "&amp;$AO$7&amp;" / ","")&amp;IF(AND(AP9&lt;&gt;"",AP9&gt;0),AP9&amp;" "&amp;$AP$7&amp;" / ","")&amp;IF(AND(AQ9&lt;&gt;"",AQ9&gt;0),AQ9&amp;" "&amp;$AQ$7&amp;" / ","")&amp;IF(AND(AR9&lt;&gt;"",AR9&gt;0),AR9&amp;" "&amp;$AR$7&amp;" / ","")&amp;IF(AND(AS9&lt;&gt;"",AS9&gt;0),AS9&amp;" "&amp;$AS$7&amp;" / ","")&amp;IF(AND(AT9&lt;&gt;"",AT9&gt;0),AT9&amp;" "&amp;$AT$7&amp;" / ","")&amp;IF(AND(AU9&lt;&gt;"",AU9&gt;0),AU9&amp;" "&amp;$AU$7&amp;" / ","")&amp;IF(AND(AV9&lt;&gt;"",AV9&gt;0),AV9&amp;" "&amp;$AV$7&amp;" / ","")&amp;IF(AND(AW9&lt;&gt;"",AW9&gt;0),AW9&amp;" "&amp;$AW$7&amp;" / ","")&amp;IF(AND(AX9&lt;&gt;"",AX9&gt;0),AX9&amp;" "&amp;$AX$7&amp;" / ","")&amp;IF(AND(AY9&lt;&gt;"",AY9&gt;0),AY9&amp;" "&amp;$AY$7&amp;" / ","")&amp;IF(AND(AZ9&lt;&gt;"",AZ9&gt;0),AZ9&amp;" "&amp;$AZ$7&amp;" / ","")&amp;IF(AND(BA9&lt;&gt;"",BA9&gt;0),BA9&amp;" "" / ",""))-2)))</f>
        <v>1 ميزان / 84 د.التونسي</v>
      </c>
    </row>
    <row r="10" spans="1:54" ht="69.75" customHeight="1" thickTop="1" thickBot="1">
      <c r="A10" s="91" t="s">
        <v>33</v>
      </c>
      <c r="B10" s="91" t="str">
        <f>IF(ISBLANK($A10),"",IF(ISBLANK(VLOOKUP($A10,Tableau6[],2,FALSE)),"",VLOOKUP($A10,Tableau6[],2,FALSE)))</f>
        <v>منزل النور</v>
      </c>
      <c r="C10" s="91">
        <f>IF(ISBLANK($A10),"",IF(ISBLANK(VLOOKUP($A10,Tableau6[],3,FALSE)),"",VLOOKUP($A10,Tableau6[],3,FALSE)))</f>
        <v>1</v>
      </c>
      <c r="D10" s="207">
        <f>IF(ISBLANK($A10),"",IF(ISBLANK(VLOOKUP($A10,Tableau6[],4,FALSE)),"",VLOOKUP($A10,Tableau6[],4,FALSE)))</f>
        <v>1</v>
      </c>
      <c r="E10" s="207" t="str">
        <f>IF(ISBLANK($A10),"",IF(ISBLANK(VLOOKUP($A10,Tableau6[],5,FALSE)),"",VLOOKUP($A10,Tableau6[],5,FALSE)))</f>
        <v/>
      </c>
      <c r="F10" s="207" t="str">
        <f>IF(ISBLANK($A10),"",IF(ISBLANK(VLOOKUP($A10,Tableau6[],6,FALSE)),"",VLOOKUP($A10,Tableau6[],6,FALSE)))</f>
        <v/>
      </c>
      <c r="G10" s="207" t="str">
        <f>IF(ISBLANK($A10),"",IF(ISBLANK(VLOOKUP($A10,Tableau6[],7,FALSE)),"",VLOOKUP($A10,Tableau6[],7,FALSE)))</f>
        <v/>
      </c>
      <c r="H10" s="207">
        <f>IF(ISBLANK($A10),"",IF(ISBLANK(VLOOKUP($A10,Tableau6[],8,FALSE)),"",VLOOKUP($A10,Tableau6[],8,FALSE)))</f>
        <v>2</v>
      </c>
      <c r="I10" s="207" t="str">
        <f>IF(ISBLANK($A10),"",IF(ISBLANK(VLOOKUP($A10,Tableau6[],9,FALSE)),"",VLOOKUP($A10,Tableau6[],9,FALSE)))</f>
        <v/>
      </c>
      <c r="J10" s="207" t="str">
        <f>IF(ISBLANK($A10),"",IF(ISBLANK(VLOOKUP($A10,Tableau6[],10,FALSE)),"",VLOOKUP($A10,Tableau6[],10,FALSE)))</f>
        <v/>
      </c>
      <c r="K10" s="207" t="str">
        <f>IF(ISBLANK($A10),"",IF(ISBLANK(VLOOKUP($A10,Tableau6[],11,FALSE)),"",VLOOKUP($A10,Tableau6[],11,FALSE)))</f>
        <v/>
      </c>
      <c r="L10" s="207" t="str">
        <f>IF(ISBLANK($A10),"",IF(ISBLANK(VLOOKUP($A10,Tableau6[],12,FALSE)),"",VLOOKUP($A10,Tableau6[],12,FALSE)))</f>
        <v/>
      </c>
      <c r="M10" s="207" t="str">
        <f>IF(ISBLANK($A10),"",IF(ISBLANK(VLOOKUP($A10,Tableau6[],13,FALSE)),"",VLOOKUP($A10,Tableau6[],13,FALSE)))</f>
        <v/>
      </c>
      <c r="N10" s="207" t="str">
        <f>IF(ISBLANK($A10),"",IF(ISBLANK(VLOOKUP($A10,Tableau6[],14,FALSE)),"",VLOOKUP($A10,Tableau6[],14,FALSE)))</f>
        <v/>
      </c>
      <c r="O10" s="207" t="str">
        <f>IF(ISBLANK($A10),"",IF(ISBLANK(VLOOKUP($A10,Tableau6[],15,FALSE)),"",VLOOKUP($A10,Tableau6[],15,FALSE)))</f>
        <v/>
      </c>
      <c r="P10" s="207" t="str">
        <f>IF(ISBLANK($A10),"",IF(ISBLANK(VLOOKUP($A10,Tableau6[],16,FALSE)),"",VLOOKUP($A10,Tableau6[],16,FALSE)))</f>
        <v/>
      </c>
      <c r="Q10" s="207"/>
      <c r="R10" s="207" t="str">
        <f t="shared" ref="R10" si="14">IF(AND(OR(L10="",L10=0),OR(M10="",M10=0),OR(N10="",N10=0),OR(O10="",O10=0)*OR(P10="",P10=0)),"",TRIM(LEFT(IF(AND(L10&lt;&gt;"",L10&gt;0),L10&amp;" "&amp;$L$7&amp;" / ","")&amp;IF(AND(M10&lt;&gt;"",M10&gt;0),M10&amp;" "&amp;$M$7&amp;" / ","")&amp;IF(AND(N10&lt;&gt;"",N10&gt;0),N10&amp;" "&amp;$N$7&amp;" / ","")&amp;IF(AND(O10&lt;&gt;"",O10&gt;0),O10&amp;" "&amp;$O$7&amp;" / ","")&amp;IF(AND(P10&lt;&gt;"",P10&gt;0),P10&amp;" "&amp;$P$7&amp;" / ",""),LEN(IF(AND(L10&lt;&gt;"",L10&gt;0),L10&amp;" "&amp;$L$7&amp;" / ","")&amp;IF(AND(M10&lt;&gt;"",M10&gt;0),M10&amp;" "&amp;$M$7&amp;" / ","")&amp;IF(AND(N10&lt;&gt;"",N10&gt;0),N10&amp;" "&amp;$N$7&amp;" / ","")&amp;IF(AND(O10&lt;&gt;"",O10&gt;0),O10&amp;" "&amp;$O$7&amp;" / ","")&amp;IF(AND(P10&lt;&gt;"",P10&gt;0),P10&amp;" "&amp;$P$7&amp;" / ",""))-2)))</f>
        <v/>
      </c>
      <c r="S10" s="207" t="str">
        <f>IF(ISBLANK($A10),"",IF(ISBLANK(VLOOKUP($A10,Tableau6[],17,FALSE)),"",VLOOKUP($A10,Tableau6[],17,FALSE)))</f>
        <v/>
      </c>
      <c r="T10" s="207" t="str">
        <f>IF(ISBLANK($A10),"",IF(ISBLANK(VLOOKUP($A10,Tableau6[],18,FALSE)),"",VLOOKUP($A10,Tableau6[],18,FALSE)))</f>
        <v/>
      </c>
      <c r="U10" s="207" t="str">
        <f t="shared" ref="U10" si="15">IF(AND(OR(S10="",S10=0),OR(T10="",T10=0)),"",TRIM(LEFT(IF(AND(S10&lt;&gt;"",S10&gt;0),S10&amp;" "&amp;$S$7&amp;" / ","")&amp;IF(AND(T10&lt;&gt;"",T10&gt;0),T10&amp;" "&amp;$T$7&amp;" / ",""),LEN(IF(AND(S10&lt;&gt;"",S10&gt;0),S10&amp;" "&amp;$S$7&amp;" / ","")&amp;IF(AND(T10&lt;&gt;"",T10&gt;0),T10&amp;" "&amp;$T$7&amp;" / ",""))-2)))</f>
        <v/>
      </c>
      <c r="V10" s="207" t="str">
        <f>IF(ISBLANK($A10),"",IF(ISBLANK(VLOOKUP($A10,Tableau6[],19,FALSE)),"",VLOOKUP($A10,Tableau6[],19,FALSE)))</f>
        <v/>
      </c>
      <c r="W10" s="207" t="str">
        <f>IF(ISBLANK($A10),"",IF(ISBLANK(VLOOKUP($A10,Tableau6[],20,FALSE)),"",VLOOKUP($A10,Tableau6[],20,FALSE)))</f>
        <v/>
      </c>
      <c r="X10" s="207" t="str">
        <f>IF(ISBLANK($A10),"",IF(ISBLANK(VLOOKUP($A10,Tableau6[],21,FALSE)),"",VLOOKUP($A10,Tableau6[],21,FALSE)))</f>
        <v/>
      </c>
      <c r="Y10" s="207" t="str">
        <f t="shared" ref="Y10" si="16">IF(AND(OR(V10="",V10=0),OR(W10="",W10=0),OR(X10="",X10=0)),"",TRIM(LEFT(IF(AND(V10&lt;&gt;"",V10&gt;0),V10&amp;" "&amp;$V$7&amp;" / ","")&amp;IF(AND(W10&lt;&gt;"",W10&gt;0),W10&amp;" "&amp;$W$7&amp;" / ","")&amp;IF(AND(X10&lt;&gt;"",X10&gt;0),X10&amp;" "&amp;" / ",""),LEN(IF(AND(V10&lt;&gt;"",V10&gt;0),V10&amp;" "&amp;$V$7&amp;" / ","")&amp;IF(AND(W10&lt;&gt;"",W10&gt;0),W10&amp;" "&amp;$W$7&amp;" / ","")&amp;IF(AND(X10&lt;&gt;"",X10&gt;0),X10&amp;" "&amp;" / ",""))-2)))</f>
        <v/>
      </c>
      <c r="Z10" s="207" t="str">
        <f>IF(ISBLANK($A10),"",IF(ISBLANK(VLOOKUP($A10,Tableau6[],22,FALSE)),"",VLOOKUP($A10,Tableau6[],22,FALSE)))</f>
        <v/>
      </c>
      <c r="AA10" s="207" t="str">
        <f>IF(ISBLANK($A10),"",IF(ISBLANK(VLOOKUP($A10,Tableau6[],23,FALSE)),"",VLOOKUP($A10,Tableau6[],23,FALSE)))</f>
        <v/>
      </c>
      <c r="AB10" s="207" t="str">
        <f>IF(ISBLANK($A10),"",IF(ISBLANK(VLOOKUP($A10,Tableau6[],24,FALSE)),"",VLOOKUP($A10,Tableau6[],24,FALSE)))</f>
        <v/>
      </c>
      <c r="AC10" s="207" t="str">
        <f t="shared" ref="AC10" si="17">IF(AND(OR(Z10="",Z10=0),OR(AA10="",AA10=0),OR(AB10="",AB10=0)),"",TRIM(LEFT(IF(AND(Z10&lt;&gt;"",Z10&gt;0),Z10&amp;" "&amp;$Z$7&amp;" / ","")&amp;IF(AND(AA10&lt;&gt;"",AA10&gt;0),AA10&amp;" "&amp;$AA$7&amp;" / ","")&amp;IF(AND(AB10&lt;&gt;"",AB10&gt;0),AB10&amp;" "&amp;" / ",""),LEN(IF(AND(Z10&lt;&gt;"",Z10&gt;0),Z10&amp;" "&amp;$Z$7&amp;" / ","")&amp;IF(AND(AA10&lt;&gt;"",AA10&gt;0),AA10&amp;" "&amp;$AA$7&amp;" / ","")&amp;IF(AND(AB10&lt;&gt;"",AB10&gt;0),AB10&amp;" "&amp;" / ",""))-2)))</f>
        <v/>
      </c>
      <c r="AD10" s="207" t="str">
        <f>IF(ISBLANK($A10),"",IF(ISBLANK(VLOOKUP($A10,Tableau6[],25,FALSE)),"",VLOOKUP($A10,Tableau6[],25,FALSE)))</f>
        <v/>
      </c>
      <c r="AE10" s="207" t="str">
        <f>IF(ISBLANK($A10),"",IF(ISBLANK(VLOOKUP($A10,Tableau6[],26,FALSE)),"",VLOOKUP($A10,Tableau6[],26,FALSE)))</f>
        <v/>
      </c>
      <c r="AF10" s="207" t="str">
        <f>IF(ISBLANK($A10),"",IF(ISBLANK(VLOOKUP($A10,Tableau6[],27,FALSE)),"",VLOOKUP($A10,Tableau6[],27,FALSE)))</f>
        <v/>
      </c>
      <c r="AG10" s="207" t="str">
        <f t="shared" ref="AG10" si="18">IF(AND(OR(AD10="",AD10=0),OR(AE10="",AE10=0),OR(AF10="",AF10=0)),"",TRIM(LEFT(IF(AND(AD10&lt;&gt;"",AD10&gt;0),AD10&amp;" "&amp;$AD$7&amp;" / ","")&amp;IF(AND(AE10&lt;&gt;"",AE10&gt;0),AE10&amp;" "&amp;$AE$7&amp;" / ","")&amp;IF(AND(AF10&lt;&gt;"",AF10&gt;0),AF10&amp;" "&amp;$AF$7&amp;" / ",""),LEN(IF(AND(AD10&lt;&gt;"",AD10&gt;0),AD10&amp;" "&amp;$AD$7&amp;" / ","")&amp;IF(AND(AE10&lt;&gt;"",AE10&gt;0),AE10&amp;" "&amp;$AE$7&amp;" / ","")&amp;IF(AND(AF10&lt;&gt;"",AF10&gt;0),AF10&amp;" "&amp;$AF$7&amp;" / ",""))-2)))</f>
        <v/>
      </c>
      <c r="AH10" s="189" t="str">
        <f>IF(ISBLANK($A10),"",IF(ISBLANK(VLOOKUP($A10,Tableau6[],28,FALSE)),"",VLOOKUP($A10,Tableau6[],28,FALSE)))</f>
        <v/>
      </c>
      <c r="AI10" s="207" t="str">
        <f>IF(ISBLANK($A10),"",IF(ISBLANK(VLOOKUP($A10,Tableau6[],29,FALSE)),"",VLOOKUP($A10,Tableau6[],29,FALSE)))</f>
        <v/>
      </c>
      <c r="AJ10" s="207" t="str">
        <f>IF(ISBLANK($A10),"",IF(ISBLANK(VLOOKUP($A10,Tableau6[],30,FALSE)),"",VLOOKUP($A10,Tableau6[],30,FALSE)))</f>
        <v/>
      </c>
      <c r="AK10" s="207" t="str">
        <f t="shared" ref="AK10" si="19">IF(AND(OR(AI10="",AI10=0),OR(AJ10="",AJ10=0)),"",TRIM(LEFT(IF(AND(AI10&lt;&gt;"",AI10&gt;0),AI10&amp;" "&amp;$AI$7&amp;" / ","")&amp;IF(AND(AJ10&lt;&gt;"",AJ10&gt;0),AJ10&amp;" "&amp;$AJ$7&amp;" / ",""),LEN(IF(AND(AI10&lt;&gt;"",AI10&gt;0),AI10&amp;" "&amp;$AI$7&amp;" / ","")&amp;IF(AND(AJ10&lt;&gt;"",AJ10&gt;0),AJ10&amp;" "&amp;$AJ$7&amp;" / ",""))-2)))</f>
        <v/>
      </c>
      <c r="AL10" s="207" t="str">
        <f>IF(ISBLANK($A10),"",IF(ISBLANK(VLOOKUP($A10,Tableau6[],31,FALSE)),"",VLOOKUP($A10,Tableau6[],31,FALSE)))</f>
        <v/>
      </c>
      <c r="AM10" s="207" t="str">
        <f>IF(ISBLANK($A10),"",IF(ISBLANK(VLOOKUP($A10,Tableau6[],32,FALSE)),"",VLOOKUP($A10,Tableau6[],32,FALSE)))</f>
        <v/>
      </c>
      <c r="AN10" s="207" t="str">
        <f>IF(ISBLANK($A10),"",IF(ISBLANK(VLOOKUP($A10,Tableau6[],33,FALSE)),"",VLOOKUP($A10,Tableau6[],33,FALSE)))</f>
        <v/>
      </c>
      <c r="AO10" s="207" t="str">
        <f>IF(ISBLANK($A10),"",IF(ISBLANK(VLOOKUP($A10,Tableau6[],34,FALSE)),"",VLOOKUP($A10,Tableau6[],34,FALSE)))</f>
        <v/>
      </c>
      <c r="AP10" s="207" t="str">
        <f>IF(ISBLANK($A10),"",IF(ISBLANK(VLOOKUP($A10,Tableau6[],35,FALSE)),"",VLOOKUP($A10,Tableau6[],35,FALSE)))</f>
        <v/>
      </c>
      <c r="AQ10" s="207" t="str">
        <f>IF(ISBLANK($A10),"",IF(ISBLANK(VLOOKUP($A10,Tableau6[],36,FALSE)),"",VLOOKUP($A10,Tableau6[],36,FALSE)))</f>
        <v/>
      </c>
      <c r="AR10" s="207">
        <f>IF(ISBLANK($A10),"",IF(ISBLANK(VLOOKUP($A10,Tableau6[],37,FALSE)),"",VLOOKUP($A10,Tableau6[],37,FALSE)))</f>
        <v>1</v>
      </c>
      <c r="AS10" s="207" t="str">
        <f>IF(ISBLANK($A10),"",IF(ISBLANK(VLOOKUP($A10,Tableau6[],38,FALSE)),"",VLOOKUP($A10,Tableau6[],38,FALSE)))</f>
        <v/>
      </c>
      <c r="AT10" s="207" t="str">
        <f>IF(ISBLANK($A10),"",IF(ISBLANK(VLOOKUP($A10,Tableau6[],39,FALSE)),"",VLOOKUP($A10,Tableau6[],39,FALSE)))</f>
        <v/>
      </c>
      <c r="AU10" s="207" t="str">
        <f>IF(ISBLANK($A10),"",IF(ISBLANK(VLOOKUP($A10,Tableau6[],40,FALSE)),"",VLOOKUP($A10,Tableau6[],40,FALSE)))</f>
        <v/>
      </c>
      <c r="AV10" s="207" t="str">
        <f>IF(ISBLANK($A10),"",IF(ISBLANK(VLOOKUP($A10,Tableau6[],41,FALSE)),"",VLOOKUP($A10,Tableau6[],41,FALSE)))</f>
        <v/>
      </c>
      <c r="AW10" s="207" t="str">
        <f>IF(ISBLANK($A10),"",IF(ISBLANK(VLOOKUP($A10,Tableau6[],42,FALSE)),"",VLOOKUP($A10,Tableau6[],42,FALSE)))</f>
        <v/>
      </c>
      <c r="AX10" s="207" t="str">
        <f>IF(ISBLANK($A10),"",IF(ISBLANK(VLOOKUP($A10,Tableau6[],43,FALSE)),"",VLOOKUP($A10,Tableau6[],43,FALSE)))</f>
        <v/>
      </c>
      <c r="AY10" s="207" t="str">
        <f>IF(ISBLANK($A10),"",IF(ISBLANK(VLOOKUP($A10,Tableau6[],44,FALSE)),"",VLOOKUP($A10,Tableau6[],44,FALSE)))</f>
        <v/>
      </c>
      <c r="AZ10" s="207" t="str">
        <f>IF(ISBLANK($A10),"",IF(ISBLANK(VLOOKUP($A10,Tableau6[],45,FALSE)),"",VLOOKUP($A10,Tableau6[],45,FALSE)))</f>
        <v/>
      </c>
      <c r="BA10" s="207" t="str">
        <f>IF(ISBLANK($A10),"",IF(ISBLANK(VLOOKUP($A10,Tableau6[],46,FALSE)),"",VLOOKUP($A10,Tableau6[],46,FALSE)))</f>
        <v/>
      </c>
      <c r="BB10" s="113" t="str">
        <f t="shared" ref="BB10" si="20">IF(AND(OR(AK10="",AK10=0),OR(AL10="",AL10=0),OR(AM10="",AM10=0),OR(AN10="",AN10=0),OR(AO10="",AO10=0),OR(AP10="",AP10=0),OR(AQ10="",AQ10=0),OR(AR10="",AR10=0),OR(AS10="",AS10=0),OR(AT10="",AT10=0),OR(AU10="",AU10=0),OR(AV10="",AV10=0),OR(AW10="",AW10=0),OR(AX10="",AX10=0),OR(AY10="",AY10=0),OR(AZ10="",AZ10=0),OR(BA10="",BA10=0)),"",TRIM(LEFT(IF(AND(AK10&lt;&gt;"",AK10&gt;0),AK10&amp;" "&amp;$AK$7&amp;" / ","")&amp;IF(AND(AL10&lt;&gt;"",AL10&gt;0),AL10&amp;" "&amp;$AL$7&amp;" / ","")&amp;IF(AND(AM10&lt;&gt;"",AM10&gt;0),AM10&amp;" "&amp;$AM$7&amp;" / ","")&amp;IF(AND(AN10&lt;&gt;"",AN10&gt;0),AN10&amp;" "&amp;$AN$7&amp;" / ","")&amp;IF(AND(AO10&lt;&gt;"",AO10&gt;0),AO10&amp;" "&amp;$AO$7&amp;" / ","")&amp;IF(AND(AP10&lt;&gt;"",AP10&gt;0),AP10&amp;" "&amp;$AP$7&amp;" / ","")&amp;IF(AND(AQ10&lt;&gt;"",AQ10&gt;0),AQ10&amp;" "&amp;$AQ$7&amp;" / ","")&amp;IF(AND(AR10&lt;&gt;"",AR10&gt;0),AR10&amp;" "&amp;$AR$7&amp;" / ","")&amp;IF(AND(AS10&lt;&gt;"",AS10&gt;0),AS10&amp;" "&amp;$AS$7&amp;" / ","")&amp;IF(AND(AT10&lt;&gt;"",AT10&gt;0),AT10&amp;" "&amp;$AT$7&amp;" / ","")&amp;IF(AND(AU10&lt;&gt;"",AU10&gt;0),AU10&amp;" "&amp;$AU$7&amp;" / ","")&amp;IF(AND(AV10&lt;&gt;"",AV10&gt;0),AV10&amp;" "&amp;$AV$7&amp;" / ","")&amp;IF(AND(AW10&lt;&gt;"",AW10&gt;0),AW10&amp;" "&amp;$AW$7&amp;" / ","")&amp;IF(AND(AX10&lt;&gt;"",AX10&gt;0),AX10&amp;" "&amp;$AX$7&amp;" / ","")&amp;IF(AND(AY10&lt;&gt;"",AY10&gt;0),AY10&amp;" "&amp;$AY$7&amp;" / ","")&amp;IF(AND(AZ10&lt;&gt;"",AZ10&gt;0),AZ10&amp;" "&amp;$AZ$7&amp;" / ","")&amp;IF(AND(BA10&lt;&gt;"",BA10&gt;0),BA10&amp;" "&amp;" / ",""),LEN(IF(AND(AK10&lt;&gt;"",AK10&gt;0),AK10&amp;" "&amp;$AK$7&amp;" / ","")&amp;IF(AND(AL10&lt;&gt;"",AL10&gt;0),AL10&amp;" "&amp;$AL$7&amp;" / ","")&amp;IF(AND(AM10&lt;&gt;"",AM10&gt;0),AM10&amp;" "&amp;$AM$7&amp;" / ","")&amp;IF(AND(AN10&lt;&gt;"",AN10&gt;0),AN10&amp;" "&amp;$AN$7&amp;" / ","")&amp;IF(AND(AO10&lt;&gt;"",AO10&gt;0),AO10&amp;" "&amp;$AO$7&amp;" / ","")&amp;IF(AND(AP10&lt;&gt;"",AP10&gt;0),AP10&amp;" "&amp;$AP$7&amp;" / ","")&amp;IF(AND(AQ10&lt;&gt;"",AQ10&gt;0),AQ10&amp;" "&amp;$AQ$7&amp;" / ","")&amp;IF(AND(AR10&lt;&gt;"",AR10&gt;0),AR10&amp;" "&amp;$AR$7&amp;" / ","")&amp;IF(AND(AS10&lt;&gt;"",AS10&gt;0),AS10&amp;" "&amp;$AS$7&amp;" / ","")&amp;IF(AND(AT10&lt;&gt;"",AT10&gt;0),AT10&amp;" "&amp;$AT$7&amp;" / ","")&amp;IF(AND(AU10&lt;&gt;"",AU10&gt;0),AU10&amp;" "&amp;$AU$7&amp;" / ","")&amp;IF(AND(AV10&lt;&gt;"",AV10&gt;0),AV10&amp;" "&amp;$AV$7&amp;" / ","")&amp;IF(AND(AW10&lt;&gt;"",AW10&gt;0),AW10&amp;" "&amp;$AW$7&amp;" / ","")&amp;IF(AND(AX10&lt;&gt;"",AX10&gt;0),AX10&amp;" "&amp;$AX$7&amp;" / ","")&amp;IF(AND(AY10&lt;&gt;"",AY10&gt;0),AY10&amp;" "&amp;$AY$7&amp;" / ","")&amp;IF(AND(AZ10&lt;&gt;"",AZ10&gt;0),AZ10&amp;" "&amp;$AZ$7&amp;" / ","")&amp;IF(AND(BA10&lt;&gt;"",BA10&gt;0),BA10&amp;" "" / ",""))-2)))</f>
        <v>1 صحن</v>
      </c>
    </row>
    <row r="11" spans="1:54" ht="51" customHeight="1" thickTop="1" thickBot="1">
      <c r="A11" s="91" t="s">
        <v>37</v>
      </c>
      <c r="B11" s="91" t="str">
        <f>IF(ISBLANK($A11),"",IF(ISBLANK(VLOOKUP($A11,Tableau6[],2,FALSE)),"",VLOOKUP($A11,Tableau6[],2,FALSE)))</f>
        <v>العوينة</v>
      </c>
      <c r="C11" s="91">
        <f>IF(ISBLANK($A11),"",IF(ISBLANK(VLOOKUP($A11,Tableau6[],3,FALSE)),"",VLOOKUP($A11,Tableau6[],3,FALSE)))</f>
        <v>1</v>
      </c>
      <c r="D11" s="202" t="str">
        <f>IF(ISBLANK($A11),"",IF(ISBLANK(VLOOKUP($A11,Tableau6[],4,FALSE)),"",VLOOKUP($A11,Tableau6[],4,FALSE)))</f>
        <v/>
      </c>
      <c r="E11" s="202">
        <f>IF(ISBLANK($A11),"",IF(ISBLANK(VLOOKUP($A11,Tableau6[],5,FALSE)),"",VLOOKUP($A11,Tableau6[],5,FALSE)))</f>
        <v>1</v>
      </c>
      <c r="F11" s="202" t="str">
        <f>IF(ISBLANK($A11),"",IF(ISBLANK(VLOOKUP($A11,Tableau6[],6,FALSE)),"",VLOOKUP($A11,Tableau6[],6,FALSE)))</f>
        <v/>
      </c>
      <c r="G11" s="202" t="str">
        <f>IF(ISBLANK($A11),"",IF(ISBLANK(VLOOKUP($A11,Tableau6[],7,FALSE)),"",VLOOKUP($A11,Tableau6[],7,FALSE)))</f>
        <v/>
      </c>
      <c r="H11" s="202" t="str">
        <f>IF(ISBLANK($A11),"",IF(ISBLANK(VLOOKUP($A11,Tableau6[],8,FALSE)),"",VLOOKUP($A11,Tableau6[],8,FALSE)))</f>
        <v/>
      </c>
      <c r="I11" s="202">
        <f>IF(ISBLANK($A11),"",IF(ISBLANK(VLOOKUP($A11,Tableau6[],9,FALSE)),"",VLOOKUP($A11,Tableau6[],9,FALSE)))</f>
        <v>1</v>
      </c>
      <c r="J11" s="202" t="str">
        <f>IF(ISBLANK($A11),"",IF(ISBLANK(VLOOKUP($A11,Tableau6[],10,FALSE)),"",VLOOKUP($A11,Tableau6[],10,FALSE)))</f>
        <v/>
      </c>
      <c r="K11" s="202" t="str">
        <f>IF(ISBLANK($A11),"",IF(ISBLANK(VLOOKUP($A11,Tableau6[],11,FALSE)),"",VLOOKUP($A11,Tableau6[],11,FALSE)))</f>
        <v/>
      </c>
      <c r="L11" s="202" t="str">
        <f>IF(ISBLANK($A11),"",IF(ISBLANK(VLOOKUP($A11,Tableau6[],12,FALSE)),"",VLOOKUP($A11,Tableau6[],12,FALSE)))</f>
        <v/>
      </c>
      <c r="M11" s="202" t="str">
        <f>IF(ISBLANK($A11),"",IF(ISBLANK(VLOOKUP($A11,Tableau6[],13,FALSE)),"",VLOOKUP($A11,Tableau6[],13,FALSE)))</f>
        <v/>
      </c>
      <c r="N11" s="202">
        <f>IF(ISBLANK($A11),"",IF(ISBLANK(VLOOKUP($A11,Tableau6[],14,FALSE)),"",VLOOKUP($A11,Tableau6[],14,FALSE)))</f>
        <v>1</v>
      </c>
      <c r="O11" s="202" t="str">
        <f>IF(ISBLANK($A11),"",IF(ISBLANK(VLOOKUP($A11,Tableau6[],15,FALSE)),"",VLOOKUP($A11,Tableau6[],15,FALSE)))</f>
        <v/>
      </c>
      <c r="P11" s="202" t="str">
        <f>IF(ISBLANK($A11),"",IF(ISBLANK(VLOOKUP($A11,Tableau6[],16,FALSE)),"",VLOOKUP($A11,Tableau6[],16,FALSE)))</f>
        <v/>
      </c>
      <c r="Q11" s="202"/>
      <c r="R11" s="202" t="str">
        <f t="shared" ref="R11" si="21">IF(AND(OR(L11="",L11=0),OR(M11="",M11=0),OR(N11="",N11=0),OR(O11="",O11=0)*OR(P11="",P11=0)),"",TRIM(LEFT(IF(AND(L11&lt;&gt;"",L11&gt;0),L11&amp;" "&amp;$L$7&amp;" / ","")&amp;IF(AND(M11&lt;&gt;"",M11&gt;0),M11&amp;" "&amp;$M$7&amp;" / ","")&amp;IF(AND(N11&lt;&gt;"",N11&gt;0),N11&amp;" "&amp;$N$7&amp;" / ","")&amp;IF(AND(O11&lt;&gt;"",O11&gt;0),O11&amp;" "&amp;$O$7&amp;" / ","")&amp;IF(AND(P11&lt;&gt;"",P11&gt;0),P11&amp;" "&amp;$P$7&amp;" / ",""),LEN(IF(AND(L11&lt;&gt;"",L11&gt;0),L11&amp;" "&amp;$L$7&amp;" / ","")&amp;IF(AND(M11&lt;&gt;"",M11&gt;0),M11&amp;" "&amp;$M$7&amp;" / ","")&amp;IF(AND(N11&lt;&gt;"",N11&gt;0),N11&amp;" "&amp;$N$7&amp;" / ","")&amp;IF(AND(O11&lt;&gt;"",O11&gt;0),O11&amp;" "&amp;$O$7&amp;" / ","")&amp;IF(AND(P11&lt;&gt;"",P11&gt;0),P11&amp;" "&amp;$P$7&amp;" / ",""))-2)))</f>
        <v>1 قطع</v>
      </c>
      <c r="S11" s="202">
        <f>IF(ISBLANK($A11),"",IF(ISBLANK(VLOOKUP($A11,Tableau6[],17,FALSE)),"",VLOOKUP($A11,Tableau6[],17,FALSE)))</f>
        <v>22</v>
      </c>
      <c r="T11" s="202" t="str">
        <f>IF(ISBLANK($A11),"",IF(ISBLANK(VLOOKUP($A11,Tableau6[],18,FALSE)),"",VLOOKUP($A11,Tableau6[],18,FALSE)))</f>
        <v/>
      </c>
      <c r="U11" s="202" t="str">
        <f t="shared" ref="U11" si="22">IF(AND(OR(S11="",S11=0),OR(T11="",T11=0)),"",TRIM(LEFT(IF(AND(S11&lt;&gt;"",S11&gt;0),S11&amp;" "&amp;$S$7&amp;" / ","")&amp;IF(AND(T11&lt;&gt;"",T11&gt;0),T11&amp;" "&amp;$T$7&amp;" / ",""),LEN(IF(AND(S11&lt;&gt;"",S11&gt;0),S11&amp;" "&amp;$S$7&amp;" / ","")&amp;IF(AND(T11&lt;&gt;"",T11&gt;0),T11&amp;" "&amp;$T$7&amp;" / ",""))-2)))</f>
        <v>22 قرص</v>
      </c>
      <c r="V11" s="202" t="str">
        <f>IF(ISBLANK($A11),"",IF(ISBLANK(VLOOKUP($A11,Tableau6[],19,FALSE)),"",VLOOKUP($A11,Tableau6[],19,FALSE)))</f>
        <v/>
      </c>
      <c r="W11" s="202" t="str">
        <f>IF(ISBLANK($A11),"",IF(ISBLANK(VLOOKUP($A11,Tableau6[],20,FALSE)),"",VLOOKUP($A11,Tableau6[],20,FALSE)))</f>
        <v/>
      </c>
      <c r="X11" s="202" t="str">
        <f>IF(ISBLANK($A11),"",IF(ISBLANK(VLOOKUP($A11,Tableau6[],21,FALSE)),"",VLOOKUP($A11,Tableau6[],21,FALSE)))</f>
        <v/>
      </c>
      <c r="Y11" s="202" t="str">
        <f t="shared" ref="Y11" si="23">IF(AND(OR(V11="",V11=0),OR(W11="",W11=0),OR(X11="",X11=0)),"",TRIM(LEFT(IF(AND(V11&lt;&gt;"",V11&gt;0),V11&amp;" "&amp;$V$7&amp;" / ","")&amp;IF(AND(W11&lt;&gt;"",W11&gt;0),W11&amp;" "&amp;$W$7&amp;" / ","")&amp;IF(AND(X11&lt;&gt;"",X11&gt;0),X11&amp;" "&amp;" / ",""),LEN(IF(AND(V11&lt;&gt;"",V11&gt;0),V11&amp;" "&amp;$V$7&amp;" / ","")&amp;IF(AND(W11&lt;&gt;"",W11&gt;0),W11&amp;" "&amp;$W$7&amp;" / ","")&amp;IF(AND(X11&lt;&gt;"",X11&gt;0),X11&amp;" "&amp;" / ",""))-2)))</f>
        <v/>
      </c>
      <c r="Z11" s="202" t="str">
        <f>IF(ISBLANK($A11),"",IF(ISBLANK(VLOOKUP($A11,Tableau6[],22,FALSE)),"",VLOOKUP($A11,Tableau6[],22,FALSE)))</f>
        <v/>
      </c>
      <c r="AA11" s="202" t="str">
        <f>IF(ISBLANK($A11),"",IF(ISBLANK(VLOOKUP($A11,Tableau6[],23,FALSE)),"",VLOOKUP($A11,Tableau6[],23,FALSE)))</f>
        <v/>
      </c>
      <c r="AB11" s="202" t="str">
        <f>IF(ISBLANK($A11),"",IF(ISBLANK(VLOOKUP($A11,Tableau6[],24,FALSE)),"",VLOOKUP($A11,Tableau6[],24,FALSE)))</f>
        <v/>
      </c>
      <c r="AC11" s="202" t="str">
        <f t="shared" ref="AC11" si="24">IF(AND(OR(Z11="",Z11=0),OR(AA11="",AA11=0),OR(AB11="",AB11=0)),"",TRIM(LEFT(IF(AND(Z11&lt;&gt;"",Z11&gt;0),Z11&amp;" "&amp;$Z$7&amp;" / ","")&amp;IF(AND(AA11&lt;&gt;"",AA11&gt;0),AA11&amp;" "&amp;$AA$7&amp;" / ","")&amp;IF(AND(AB11&lt;&gt;"",AB11&gt;0),AB11&amp;" "&amp;" / ",""),LEN(IF(AND(Z11&lt;&gt;"",Z11&gt;0),Z11&amp;" "&amp;$Z$7&amp;" / ","")&amp;IF(AND(AA11&lt;&gt;"",AA11&gt;0),AA11&amp;" "&amp;$AA$7&amp;" / ","")&amp;IF(AND(AB11&lt;&gt;"",AB11&gt;0),AB11&amp;" "&amp;" / ",""))-2)))</f>
        <v/>
      </c>
      <c r="AD11" s="202" t="str">
        <f>IF(ISBLANK($A11),"",IF(ISBLANK(VLOOKUP($A11,Tableau6[],25,FALSE)),"",VLOOKUP($A11,Tableau6[],25,FALSE)))</f>
        <v/>
      </c>
      <c r="AE11" s="202" t="str">
        <f>IF(ISBLANK($A11),"",IF(ISBLANK(VLOOKUP($A11,Tableau6[],26,FALSE)),"",VLOOKUP($A11,Tableau6[],26,FALSE)))</f>
        <v/>
      </c>
      <c r="AF11" s="202" t="str">
        <f>IF(ISBLANK($A11),"",IF(ISBLANK(VLOOKUP($A11,Tableau6[],27,FALSE)),"",VLOOKUP($A11,Tableau6[],27,FALSE)))</f>
        <v/>
      </c>
      <c r="AG11" s="202" t="str">
        <f t="shared" ref="AG11" si="25">IF(AND(OR(AD11="",AD11=0),OR(AE11="",AE11=0),OR(AF11="",AF11=0)),"",TRIM(LEFT(IF(AND(AD11&lt;&gt;"",AD11&gt;0),AD11&amp;" "&amp;$AD$7&amp;" / ","")&amp;IF(AND(AE11&lt;&gt;"",AE11&gt;0),AE11&amp;" "&amp;$AE$7&amp;" / ","")&amp;IF(AND(AF11&lt;&gt;"",AF11&gt;0),AF11&amp;" "&amp;$AF$7&amp;" / ",""),LEN(IF(AND(AD11&lt;&gt;"",AD11&gt;0),AD11&amp;" "&amp;$AD$7&amp;" / ","")&amp;IF(AND(AE11&lt;&gt;"",AE11&gt;0),AE11&amp;" "&amp;$AE$7&amp;" / ","")&amp;IF(AND(AF11&lt;&gt;"",AF11&gt;0),AF11&amp;" "&amp;$AF$7&amp;" / ",""))-2)))</f>
        <v/>
      </c>
      <c r="AH11" s="189" t="str">
        <f>IF(ISBLANK($A11),"",IF(ISBLANK(VLOOKUP($A11,Tableau6[],28,FALSE)),"",VLOOKUP($A11,Tableau6[],28,FALSE)))</f>
        <v/>
      </c>
      <c r="AI11" s="202" t="str">
        <f>IF(ISBLANK($A11),"",IF(ISBLANK(VLOOKUP($A11,Tableau6[],29,FALSE)),"",VLOOKUP($A11,Tableau6[],29,FALSE)))</f>
        <v/>
      </c>
      <c r="AJ11" s="202" t="str">
        <f>IF(ISBLANK($A11),"",IF(ISBLANK(VLOOKUP($A11,Tableau6[],30,FALSE)),"",VLOOKUP($A11,Tableau6[],30,FALSE)))</f>
        <v/>
      </c>
      <c r="AK11" s="202" t="str">
        <f t="shared" ref="AK11" si="26">IF(AND(OR(AI11="",AI11=0),OR(AJ11="",AJ11=0)),"",TRIM(LEFT(IF(AND(AI11&lt;&gt;"",AI11&gt;0),AI11&amp;" "&amp;$AI$7&amp;" / ","")&amp;IF(AND(AJ11&lt;&gt;"",AJ11&gt;0),AJ11&amp;" "&amp;$AJ$7&amp;" / ",""),LEN(IF(AND(AI11&lt;&gt;"",AI11&gt;0),AI11&amp;" "&amp;$AI$7&amp;" / ","")&amp;IF(AND(AJ11&lt;&gt;"",AJ11&gt;0),AJ11&amp;" "&amp;$AJ$7&amp;" / ",""))-2)))</f>
        <v/>
      </c>
      <c r="AL11" s="202" t="str">
        <f>IF(ISBLANK($A11),"",IF(ISBLANK(VLOOKUP($A11,Tableau6[],31,FALSE)),"",VLOOKUP($A11,Tableau6[],31,FALSE)))</f>
        <v/>
      </c>
      <c r="AM11" s="202" t="str">
        <f>IF(ISBLANK($A11),"",IF(ISBLANK(VLOOKUP($A11,Tableau6[],32,FALSE)),"",VLOOKUP($A11,Tableau6[],32,FALSE)))</f>
        <v/>
      </c>
      <c r="AN11" s="202" t="str">
        <f>IF(ISBLANK($A11),"",IF(ISBLANK(VLOOKUP($A11,Tableau6[],33,FALSE)),"",VLOOKUP($A11,Tableau6[],33,FALSE)))</f>
        <v/>
      </c>
      <c r="AO11" s="202">
        <f>IF(ISBLANK($A11),"",IF(ISBLANK(VLOOKUP($A11,Tableau6[],34,FALSE)),"",VLOOKUP($A11,Tableau6[],34,FALSE)))</f>
        <v>1</v>
      </c>
      <c r="AP11" s="202" t="str">
        <f>IF(ISBLANK($A11),"",IF(ISBLANK(VLOOKUP($A11,Tableau6[],35,FALSE)),"",VLOOKUP($A11,Tableau6[],35,FALSE)))</f>
        <v/>
      </c>
      <c r="AQ11" s="202" t="str">
        <f>IF(ISBLANK($A11),"",IF(ISBLANK(VLOOKUP($A11,Tableau6[],36,FALSE)),"",VLOOKUP($A11,Tableau6[],36,FALSE)))</f>
        <v/>
      </c>
      <c r="AR11" s="202" t="str">
        <f>IF(ISBLANK($A11),"",IF(ISBLANK(VLOOKUP($A11,Tableau6[],37,FALSE)),"",VLOOKUP($A11,Tableau6[],37,FALSE)))</f>
        <v/>
      </c>
      <c r="AS11" s="202" t="str">
        <f>IF(ISBLANK($A11),"",IF(ISBLANK(VLOOKUP($A11,Tableau6[],38,FALSE)),"",VLOOKUP($A11,Tableau6[],38,FALSE)))</f>
        <v/>
      </c>
      <c r="AT11" s="202" t="str">
        <f>IF(ISBLANK($A11),"",IF(ISBLANK(VLOOKUP($A11,Tableau6[],39,FALSE)),"",VLOOKUP($A11,Tableau6[],39,FALSE)))</f>
        <v/>
      </c>
      <c r="AU11" s="202" t="str">
        <f>IF(ISBLANK($A11),"",IF(ISBLANK(VLOOKUP($A11,Tableau6[],40,FALSE)),"",VLOOKUP($A11,Tableau6[],40,FALSE)))</f>
        <v/>
      </c>
      <c r="AV11" s="202" t="str">
        <f>IF(ISBLANK($A11),"",IF(ISBLANK(VLOOKUP($A11,Tableau6[],41,FALSE)),"",VLOOKUP($A11,Tableau6[],41,FALSE)))</f>
        <v/>
      </c>
      <c r="AW11" s="202" t="str">
        <f>IF(ISBLANK($A11),"",IF(ISBLANK(VLOOKUP($A11,Tableau6[],42,FALSE)),"",VLOOKUP($A11,Tableau6[],42,FALSE)))</f>
        <v/>
      </c>
      <c r="AX11" s="202" t="str">
        <f>IF(ISBLANK($A11),"",IF(ISBLANK(VLOOKUP($A11,Tableau6[],43,FALSE)),"",VLOOKUP($A11,Tableau6[],43,FALSE)))</f>
        <v/>
      </c>
      <c r="AY11" s="202" t="str">
        <f>IF(ISBLANK($A11),"",IF(ISBLANK(VLOOKUP($A11,Tableau6[],44,FALSE)),"",VLOOKUP($A11,Tableau6[],44,FALSE)))</f>
        <v/>
      </c>
      <c r="AZ11" s="202" t="str">
        <f>IF(ISBLANK($A11),"",IF(ISBLANK(VLOOKUP($A11,Tableau6[],45,FALSE)),"",VLOOKUP($A11,Tableau6[],45,FALSE)))</f>
        <v/>
      </c>
      <c r="BA11" s="202" t="str">
        <f>IF(ISBLANK($A11),"",IF(ISBLANK(VLOOKUP($A11,Tableau6[],46,FALSE)),"",VLOOKUP($A11,Tableau6[],46,FALSE)))</f>
        <v/>
      </c>
      <c r="BB11" s="113" t="str">
        <f t="shared" ref="BB11" si="27">IF(AND(OR(AK11="",AK11=0),OR(AL11="",AL11=0),OR(AM11="",AM11=0),OR(AN11="",AN11=0),OR(AO11="",AO11=0),OR(AP11="",AP11=0),OR(AQ11="",AQ11=0),OR(AR11="",AR11=0),OR(AS11="",AS11=0),OR(AT11="",AT11=0),OR(AU11="",AU11=0),OR(AV11="",AV11=0),OR(AW11="",AW11=0),OR(AX11="",AX11=0),OR(AY11="",AY11=0),OR(AZ11="",AZ11=0),OR(BA11="",BA11=0)),"",TRIM(LEFT(IF(AND(AK11&lt;&gt;"",AK11&gt;0),AK11&amp;" "&amp;$AK$7&amp;" / ","")&amp;IF(AND(AL11&lt;&gt;"",AL11&gt;0),AL11&amp;" "&amp;$AL$7&amp;" / ","")&amp;IF(AND(AM11&lt;&gt;"",AM11&gt;0),AM11&amp;" "&amp;$AM$7&amp;" / ","")&amp;IF(AND(AN11&lt;&gt;"",AN11&gt;0),AN11&amp;" "&amp;$AN$7&amp;" / ","")&amp;IF(AND(AO11&lt;&gt;"",AO11&gt;0),AO11&amp;" "&amp;$AO$7&amp;" / ","")&amp;IF(AND(AP11&lt;&gt;"",AP11&gt;0),AP11&amp;" "&amp;$AP$7&amp;" / ","")&amp;IF(AND(AQ11&lt;&gt;"",AQ11&gt;0),AQ11&amp;" "&amp;$AQ$7&amp;" / ","")&amp;IF(AND(AR11&lt;&gt;"",AR11&gt;0),AR11&amp;" "&amp;$AR$7&amp;" / ","")&amp;IF(AND(AS11&lt;&gt;"",AS11&gt;0),AS11&amp;" "&amp;$AS$7&amp;" / ","")&amp;IF(AND(AT11&lt;&gt;"",AT11&gt;0),AT11&amp;" "&amp;$AT$7&amp;" / ","")&amp;IF(AND(AU11&lt;&gt;"",AU11&gt;0),AU11&amp;" "&amp;$AU$7&amp;" / ","")&amp;IF(AND(AV11&lt;&gt;"",AV11&gt;0),AV11&amp;" "&amp;$AV$7&amp;" / ","")&amp;IF(AND(AW11&lt;&gt;"",AW11&gt;0),AW11&amp;" "&amp;$AW$7&amp;" / ","")&amp;IF(AND(AX11&lt;&gt;"",AX11&gt;0),AX11&amp;" "&amp;$AX$7&amp;" / ","")&amp;IF(AND(AY11&lt;&gt;"",AY11&gt;0),AY11&amp;" "&amp;$AY$7&amp;" / ","")&amp;IF(AND(AZ11&lt;&gt;"",AZ11&gt;0),AZ11&amp;" "&amp;$AZ$7&amp;" / ","")&amp;IF(AND(BA11&lt;&gt;"",BA11&gt;0),BA11&amp;" "&amp;" / ",""),LEN(IF(AND(AK11&lt;&gt;"",AK11&gt;0),AK11&amp;" "&amp;$AK$7&amp;" / ","")&amp;IF(AND(AL11&lt;&gt;"",AL11&gt;0),AL11&amp;" "&amp;$AL$7&amp;" / ","")&amp;IF(AND(AM11&lt;&gt;"",AM11&gt;0),AM11&amp;" "&amp;$AM$7&amp;" / ","")&amp;IF(AND(AN11&lt;&gt;"",AN11&gt;0),AN11&amp;" "&amp;$AN$7&amp;" / ","")&amp;IF(AND(AO11&lt;&gt;"",AO11&gt;0),AO11&amp;" "&amp;$AO$7&amp;" / ","")&amp;IF(AND(AP11&lt;&gt;"",AP11&gt;0),AP11&amp;" "&amp;$AP$7&amp;" / ","")&amp;IF(AND(AQ11&lt;&gt;"",AQ11&gt;0),AQ11&amp;" "&amp;$AQ$7&amp;" / ","")&amp;IF(AND(AR11&lt;&gt;"",AR11&gt;0),AR11&amp;" "&amp;$AR$7&amp;" / ","")&amp;IF(AND(AS11&lt;&gt;"",AS11&gt;0),AS11&amp;" "&amp;$AS$7&amp;" / ","")&amp;IF(AND(AT11&lt;&gt;"",AT11&gt;0),AT11&amp;" "&amp;$AT$7&amp;" / ","")&amp;IF(AND(AU11&lt;&gt;"",AU11&gt;0),AU11&amp;" "&amp;$AU$7&amp;" / ","")&amp;IF(AND(AV11&lt;&gt;"",AV11&gt;0),AV11&amp;" "&amp;$AV$7&amp;" / ","")&amp;IF(AND(AW11&lt;&gt;"",AW11&gt;0),AW11&amp;" "&amp;$AW$7&amp;" / ","")&amp;IF(AND(AX11&lt;&gt;"",AX11&gt;0),AX11&amp;" "&amp;$AX$7&amp;" / ","")&amp;IF(AND(AY11&lt;&gt;"",AY11&gt;0),AY11&amp;" "&amp;$AY$7&amp;" / ","")&amp;IF(AND(AZ11&lt;&gt;"",AZ11&gt;0),AZ11&amp;" "&amp;$AZ$7&amp;" / ","")&amp;IF(AND(BA11&lt;&gt;"",BA11&gt;0),BA11&amp;" "" / ",""))-2)))</f>
        <v>1 هاتف جوال</v>
      </c>
    </row>
    <row r="12" spans="1:54" ht="116.25" customHeight="1" thickTop="1" thickBot="1">
      <c r="A12" s="100" t="s">
        <v>55</v>
      </c>
      <c r="B12" s="101" t="s">
        <v>91</v>
      </c>
      <c r="C12" s="101">
        <f t="shared" ref="C12:P12" si="28">SUM(C8:C11)</f>
        <v>3</v>
      </c>
      <c r="D12" s="101">
        <f t="shared" si="28"/>
        <v>1</v>
      </c>
      <c r="E12" s="101">
        <f t="shared" si="28"/>
        <v>2</v>
      </c>
      <c r="F12" s="101">
        <f t="shared" si="28"/>
        <v>0</v>
      </c>
      <c r="G12" s="101">
        <f t="shared" si="28"/>
        <v>0</v>
      </c>
      <c r="H12" s="101">
        <f t="shared" si="28"/>
        <v>2</v>
      </c>
      <c r="I12" s="101">
        <f t="shared" si="28"/>
        <v>2</v>
      </c>
      <c r="J12" s="101">
        <f t="shared" si="28"/>
        <v>0</v>
      </c>
      <c r="K12" s="101">
        <f t="shared" si="28"/>
        <v>0</v>
      </c>
      <c r="L12" s="101">
        <f t="shared" si="28"/>
        <v>0</v>
      </c>
      <c r="M12" s="101">
        <f t="shared" si="28"/>
        <v>0</v>
      </c>
      <c r="N12" s="101">
        <f t="shared" si="28"/>
        <v>1</v>
      </c>
      <c r="O12" s="101">
        <f t="shared" si="28"/>
        <v>0</v>
      </c>
      <c r="P12" s="101">
        <f t="shared" si="28"/>
        <v>0</v>
      </c>
      <c r="Q12" s="101" t="s">
        <v>195</v>
      </c>
      <c r="R12" s="101" t="str">
        <f t="shared" ref="R12" si="29">IF(AND(OR(L12="",L12=0),OR(M12="",M12=0),OR(N12="",N12=0),OR(O12="",O12=0)*OR(P12="",P12=0)),"",TRIM(LEFT(IF(AND(L12&lt;&gt;"",L12&gt;0),L12&amp;" "&amp;$L$7&amp;" / ","")&amp;IF(AND(M12&lt;&gt;"",M12&gt;0),M12&amp;" "&amp;$M$7&amp;" / ","")&amp;IF(AND(N12&lt;&gt;"",N12&gt;0),N12&amp;" "&amp;$N$7&amp;" / ","")&amp;IF(AND(O12&lt;&gt;"",O12&gt;0),O12&amp;" "&amp;$O$7&amp;" / ","")&amp;IF(AND(P12&lt;&gt;"",P12&gt;0),P12&amp;" "&amp;$P$7&amp;" / ",""),LEN(IF(AND(L12&lt;&gt;"",L12&gt;0),L12&amp;" "&amp;$L$7&amp;" / ","")&amp;IF(AND(M12&lt;&gt;"",M12&gt;0),M12&amp;" "&amp;$M$7&amp;" / ","")&amp;IF(AND(N12&lt;&gt;"",N12&gt;0),N12&amp;" "&amp;$N$7&amp;" / ","")&amp;IF(AND(O12&lt;&gt;"",O12&gt;0),O12&amp;" "&amp;$O$7&amp;" / ","")&amp;IF(AND(P12&lt;&gt;"",P12&gt;0),P12&amp;" "&amp;$P$7&amp;" / ",""))-2)))</f>
        <v>1 قطع</v>
      </c>
      <c r="S12" s="101">
        <f>SUM(S8:S11)</f>
        <v>22</v>
      </c>
      <c r="T12" s="101">
        <f>SUM(T8:T11)</f>
        <v>0</v>
      </c>
      <c r="U12" s="101" t="str">
        <f t="shared" ref="U12" si="30">IF(AND(OR(S12="",S12=0),OR(T12="",T12=0)),"",TRIM(LEFT(IF(AND(S12&lt;&gt;"",S12&gt;0),S12&amp;" "&amp;$S$7&amp;" / ","")&amp;IF(AND(T12&lt;&gt;"",T12&gt;0),T12&amp;" "&amp;$T$7&amp;" / ",""),LEN(IF(AND(S12&lt;&gt;"",S12&gt;0),S12&amp;" "&amp;$S$7&amp;" / ","")&amp;IF(AND(T12&lt;&gt;"",T12&gt;0),T12&amp;" "&amp;$T$7&amp;" / ",""))-2)))</f>
        <v>22 قرص</v>
      </c>
      <c r="V12" s="101">
        <f>SUM(V8:V11)</f>
        <v>0</v>
      </c>
      <c r="W12" s="101">
        <f>SUM(W8:W11)</f>
        <v>0</v>
      </c>
      <c r="X12" s="101">
        <f>SUM(X8:X11)</f>
        <v>0</v>
      </c>
      <c r="Y12" s="101">
        <v>0</v>
      </c>
      <c r="Z12" s="101">
        <f>SUM(Z8:Z11)</f>
        <v>0</v>
      </c>
      <c r="AA12" s="101">
        <f>SUM(AA8:AA11)</f>
        <v>0</v>
      </c>
      <c r="AB12" s="101">
        <f>SUM(AB8:AB11)</f>
        <v>0</v>
      </c>
      <c r="AC12" s="101">
        <v>0</v>
      </c>
      <c r="AD12" s="101">
        <f>SUM(AD8:AD11)</f>
        <v>0</v>
      </c>
      <c r="AE12" s="101">
        <f>SUM(AE8:AE11)</f>
        <v>0</v>
      </c>
      <c r="AF12" s="101">
        <f>SUM(AF8:AF11)</f>
        <v>0</v>
      </c>
      <c r="AG12" s="101">
        <v>0</v>
      </c>
      <c r="AH12" s="206">
        <v>0</v>
      </c>
      <c r="AI12" s="101">
        <f>SUM(AI8:AI11)</f>
        <v>0</v>
      </c>
      <c r="AJ12" s="101">
        <f>SUM(AJ8:AJ11)</f>
        <v>0</v>
      </c>
      <c r="AK12" s="101" t="str">
        <f t="shared" si="5"/>
        <v/>
      </c>
      <c r="AL12" s="101">
        <f t="shared" ref="AL12:BA12" si="31">SUM(AL8:AL11)</f>
        <v>0</v>
      </c>
      <c r="AM12" s="101">
        <f t="shared" si="31"/>
        <v>0</v>
      </c>
      <c r="AN12" s="101">
        <f t="shared" si="31"/>
        <v>0</v>
      </c>
      <c r="AO12" s="101">
        <f t="shared" si="31"/>
        <v>1</v>
      </c>
      <c r="AP12" s="101">
        <f t="shared" si="31"/>
        <v>0</v>
      </c>
      <c r="AQ12" s="101">
        <f t="shared" si="31"/>
        <v>0</v>
      </c>
      <c r="AR12" s="101">
        <f t="shared" si="31"/>
        <v>1</v>
      </c>
      <c r="AS12" s="101">
        <f t="shared" si="31"/>
        <v>1</v>
      </c>
      <c r="AT12" s="101">
        <f t="shared" si="31"/>
        <v>0</v>
      </c>
      <c r="AU12" s="101">
        <f t="shared" si="31"/>
        <v>0</v>
      </c>
      <c r="AV12" s="101">
        <f t="shared" si="31"/>
        <v>0</v>
      </c>
      <c r="AW12" s="101">
        <f t="shared" si="31"/>
        <v>0</v>
      </c>
      <c r="AX12" s="101">
        <f t="shared" si="31"/>
        <v>84</v>
      </c>
      <c r="AY12" s="101">
        <f t="shared" si="31"/>
        <v>0</v>
      </c>
      <c r="AZ12" s="101">
        <f t="shared" si="31"/>
        <v>0</v>
      </c>
      <c r="BA12" s="101">
        <f t="shared" si="31"/>
        <v>0</v>
      </c>
      <c r="BB12" s="101" t="s">
        <v>74</v>
      </c>
    </row>
  </sheetData>
  <sheetProtection formatCells="0" formatColumns="0" formatRows="0"/>
  <mergeCells count="20">
    <mergeCell ref="A5:A7"/>
    <mergeCell ref="V6:X6"/>
    <mergeCell ref="Y6:Y7"/>
    <mergeCell ref="AC6:AC7"/>
    <mergeCell ref="AG6:AG7"/>
    <mergeCell ref="R6:R7"/>
    <mergeCell ref="U6:U7"/>
    <mergeCell ref="D5:G6"/>
    <mergeCell ref="H5:K6"/>
    <mergeCell ref="R5:BB5"/>
    <mergeCell ref="C5:C7"/>
    <mergeCell ref="B5:B7"/>
    <mergeCell ref="AH6:AH7"/>
    <mergeCell ref="BB6:BB7"/>
    <mergeCell ref="Q5:Q7"/>
    <mergeCell ref="A1:B1"/>
    <mergeCell ref="A2:B2"/>
    <mergeCell ref="D2:AH3"/>
    <mergeCell ref="A3:B3"/>
    <mergeCell ref="A4:B4"/>
  </mergeCells>
  <pageMargins left="0.25" right="0.25" top="0.75" bottom="0.75" header="0.3" footer="0.3"/>
  <pageSetup paperSize="9" scale="42" orientation="landscape" r:id="rId1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بحرا!$A$2:$A$31</xm:f>
          </x14:formula1>
          <xm:sqref>A8:A11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B2:N20"/>
  <sheetViews>
    <sheetView rightToLeft="1" zoomScale="40" zoomScaleNormal="40" workbookViewId="0">
      <selection activeCell="D5" sqref="D5:M6"/>
    </sheetView>
  </sheetViews>
  <sheetFormatPr baseColWidth="10" defaultColWidth="9.140625" defaultRowHeight="15"/>
  <cols>
    <col min="1" max="1" width="11.5703125" customWidth="1"/>
    <col min="3" max="3" width="37.140625" customWidth="1"/>
    <col min="4" max="4" width="42.7109375" customWidth="1"/>
    <col min="5" max="5" width="37.85546875" customWidth="1"/>
    <col min="6" max="6" width="46.42578125" customWidth="1"/>
    <col min="7" max="7" width="48.140625" customWidth="1"/>
    <col min="8" max="8" width="46.7109375" customWidth="1"/>
    <col min="9" max="9" width="52.42578125" customWidth="1"/>
    <col min="10" max="10" width="51.5703125" customWidth="1"/>
    <col min="11" max="11" width="48.7109375" customWidth="1"/>
    <col min="12" max="12" width="38.7109375" customWidth="1"/>
    <col min="13" max="13" width="48" customWidth="1"/>
    <col min="14" max="14" width="40" customWidth="1"/>
  </cols>
  <sheetData>
    <row r="2" spans="2:14" ht="66" customHeight="1">
      <c r="B2" s="246" t="s">
        <v>208</v>
      </c>
      <c r="C2" s="246"/>
      <c r="D2" s="246"/>
    </row>
    <row r="3" spans="2:14" ht="48.75" customHeight="1">
      <c r="B3" s="246"/>
      <c r="C3" s="246"/>
      <c r="D3" s="246"/>
    </row>
    <row r="4" spans="2:14" ht="46.5" customHeight="1">
      <c r="B4" s="246"/>
      <c r="C4" s="246"/>
      <c r="D4" s="246"/>
    </row>
    <row r="5" spans="2:14" ht="48.75" customHeight="1">
      <c r="B5" s="3"/>
      <c r="C5" s="3"/>
      <c r="D5" s="247" t="s">
        <v>202</v>
      </c>
      <c r="E5" s="247"/>
      <c r="F5" s="247"/>
      <c r="G5" s="247"/>
      <c r="H5" s="247"/>
      <c r="I5" s="247"/>
      <c r="J5" s="247"/>
      <c r="K5" s="247"/>
      <c r="L5" s="247"/>
      <c r="M5" s="247"/>
    </row>
    <row r="6" spans="2:14" ht="44.25" customHeight="1">
      <c r="B6" s="3"/>
      <c r="C6" s="3"/>
      <c r="D6" s="247"/>
      <c r="E6" s="247"/>
      <c r="F6" s="247"/>
      <c r="G6" s="247"/>
      <c r="H6" s="247"/>
      <c r="I6" s="247"/>
      <c r="J6" s="247"/>
      <c r="K6" s="247"/>
      <c r="L6" s="247"/>
      <c r="M6" s="247"/>
    </row>
    <row r="9" spans="2:14" ht="15.75" thickBot="1"/>
    <row r="10" spans="2:14" ht="75.75" customHeight="1" thickTop="1" thickBot="1">
      <c r="C10" s="252" t="s">
        <v>114</v>
      </c>
      <c r="D10" s="249" t="s">
        <v>115</v>
      </c>
      <c r="E10" s="249" t="s">
        <v>116</v>
      </c>
      <c r="F10" s="244" t="s">
        <v>117</v>
      </c>
      <c r="G10" s="248"/>
      <c r="H10" s="248"/>
      <c r="I10" s="245"/>
      <c r="J10" s="244" t="s">
        <v>118</v>
      </c>
      <c r="K10" s="248"/>
      <c r="L10" s="248"/>
      <c r="M10" s="248"/>
      <c r="N10" s="245"/>
    </row>
    <row r="11" spans="2:14" ht="70.5" customHeight="1" thickTop="1" thickBot="1">
      <c r="C11" s="253"/>
      <c r="D11" s="250"/>
      <c r="E11" s="250"/>
      <c r="F11" s="244" t="s">
        <v>13</v>
      </c>
      <c r="G11" s="245"/>
      <c r="H11" s="244" t="s">
        <v>12</v>
      </c>
      <c r="I11" s="245"/>
      <c r="J11" s="244" t="s">
        <v>13</v>
      </c>
      <c r="K11" s="245"/>
      <c r="L11" s="244" t="s">
        <v>12</v>
      </c>
      <c r="M11" s="245"/>
      <c r="N11" s="249" t="s">
        <v>119</v>
      </c>
    </row>
    <row r="12" spans="2:14" ht="108" customHeight="1" thickTop="1" thickBot="1">
      <c r="C12" s="254"/>
      <c r="D12" s="251"/>
      <c r="E12" s="251"/>
      <c r="F12" s="121" t="s">
        <v>98</v>
      </c>
      <c r="G12" s="121" t="s">
        <v>120</v>
      </c>
      <c r="H12" s="121" t="s">
        <v>98</v>
      </c>
      <c r="I12" s="121" t="s">
        <v>120</v>
      </c>
      <c r="J12" s="121" t="s">
        <v>98</v>
      </c>
      <c r="K12" s="121" t="s">
        <v>120</v>
      </c>
      <c r="L12" s="121" t="s">
        <v>98</v>
      </c>
      <c r="M12" s="121" t="s">
        <v>120</v>
      </c>
      <c r="N12" s="251"/>
    </row>
    <row r="13" spans="2:14" ht="168" customHeight="1" thickTop="1" thickBot="1">
      <c r="C13" s="40" t="s">
        <v>39</v>
      </c>
      <c r="D13" s="42">
        <v>0</v>
      </c>
      <c r="E13" s="42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</row>
    <row r="14" spans="2:14" ht="168" customHeight="1" thickTop="1" thickBot="1">
      <c r="C14" s="40" t="s">
        <v>40</v>
      </c>
      <c r="D14" s="42">
        <v>0</v>
      </c>
      <c r="E14" s="42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43">
        <v>0</v>
      </c>
    </row>
    <row r="15" spans="2:14" ht="168" customHeight="1" thickTop="1" thickBot="1">
      <c r="C15" s="40" t="s">
        <v>38</v>
      </c>
      <c r="D15" s="42">
        <v>0</v>
      </c>
      <c r="E15" s="42">
        <v>0</v>
      </c>
      <c r="F15" s="43">
        <v>0</v>
      </c>
      <c r="G15" s="43">
        <v>0</v>
      </c>
      <c r="H15" s="43">
        <v>0</v>
      </c>
      <c r="I15" s="43">
        <v>0</v>
      </c>
      <c r="J15" s="43">
        <v>0</v>
      </c>
      <c r="K15" s="43">
        <v>0</v>
      </c>
      <c r="L15" s="43">
        <v>0</v>
      </c>
      <c r="M15" s="43">
        <v>0</v>
      </c>
      <c r="N15" s="43">
        <v>0</v>
      </c>
    </row>
    <row r="16" spans="2:14" ht="168" customHeight="1" thickTop="1" thickBot="1">
      <c r="C16" s="41" t="s">
        <v>41</v>
      </c>
      <c r="D16" s="42">
        <v>0</v>
      </c>
      <c r="E16" s="42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</row>
    <row r="17" spans="3:14" ht="144" customHeight="1" thickTop="1" thickBot="1">
      <c r="C17" s="41" t="s">
        <v>55</v>
      </c>
      <c r="D17" s="120">
        <f>D16+D15+D14+D13</f>
        <v>0</v>
      </c>
      <c r="E17" s="120">
        <f>E16+E15+E14+E13</f>
        <v>0</v>
      </c>
      <c r="F17" s="120">
        <f>F16+F15+F14+F13</f>
        <v>0</v>
      </c>
      <c r="G17" s="120">
        <f>G16+G15+G14+G13</f>
        <v>0</v>
      </c>
      <c r="H17" s="120">
        <f t="shared" ref="H17" si="0">H16+H15+H14+H13</f>
        <v>0</v>
      </c>
      <c r="I17" s="120">
        <f t="shared" ref="I17:M17" si="1">I16+I15+I14+I13</f>
        <v>0</v>
      </c>
      <c r="J17" s="120">
        <f t="shared" si="1"/>
        <v>0</v>
      </c>
      <c r="K17" s="120">
        <f t="shared" si="1"/>
        <v>0</v>
      </c>
      <c r="L17" s="120">
        <f t="shared" si="1"/>
        <v>0</v>
      </c>
      <c r="M17" s="120">
        <f t="shared" si="1"/>
        <v>0</v>
      </c>
      <c r="N17" s="43">
        <f>SUM(N13:N16)</f>
        <v>0</v>
      </c>
    </row>
    <row r="18" spans="3:14" ht="79.5" customHeight="1" thickTop="1" thickBot="1">
      <c r="C18" s="260" t="s">
        <v>121</v>
      </c>
      <c r="D18" s="261"/>
      <c r="E18" s="262"/>
      <c r="F18" s="255">
        <f>F17+G17</f>
        <v>0</v>
      </c>
      <c r="G18" s="257"/>
      <c r="H18" s="255">
        <f>H17+I17</f>
        <v>0</v>
      </c>
      <c r="I18" s="257"/>
      <c r="J18" s="266">
        <f>J17+K17</f>
        <v>0</v>
      </c>
      <c r="K18" s="267"/>
      <c r="L18" s="266">
        <f>L17+M17</f>
        <v>0</v>
      </c>
      <c r="M18" s="267"/>
      <c r="N18" s="258">
        <v>0</v>
      </c>
    </row>
    <row r="19" spans="3:14" ht="88.5" customHeight="1" thickTop="1" thickBot="1">
      <c r="C19" s="263"/>
      <c r="D19" s="264"/>
      <c r="E19" s="265"/>
      <c r="F19" s="255">
        <f>H18+F18</f>
        <v>0</v>
      </c>
      <c r="G19" s="256"/>
      <c r="H19" s="256"/>
      <c r="I19" s="257"/>
      <c r="J19" s="255">
        <f>J18+L18</f>
        <v>0</v>
      </c>
      <c r="K19" s="256"/>
      <c r="L19" s="256"/>
      <c r="M19" s="257"/>
      <c r="N19" s="259"/>
    </row>
    <row r="20" spans="3:14" ht="15.75" thickTop="1"/>
  </sheetData>
  <mergeCells count="20">
    <mergeCell ref="J19:M19"/>
    <mergeCell ref="N18:N19"/>
    <mergeCell ref="C18:E19"/>
    <mergeCell ref="F18:G18"/>
    <mergeCell ref="H18:I18"/>
    <mergeCell ref="J18:K18"/>
    <mergeCell ref="L18:M18"/>
    <mergeCell ref="F19:I19"/>
    <mergeCell ref="L11:M11"/>
    <mergeCell ref="J11:K11"/>
    <mergeCell ref="H11:I11"/>
    <mergeCell ref="F11:G11"/>
    <mergeCell ref="B2:D4"/>
    <mergeCell ref="D5:M6"/>
    <mergeCell ref="J10:N10"/>
    <mergeCell ref="F10:I10"/>
    <mergeCell ref="E10:E12"/>
    <mergeCell ref="D10:D12"/>
    <mergeCell ref="C10:C12"/>
    <mergeCell ref="N11:N12"/>
  </mergeCells>
  <pageMargins left="3.937007874015748E-2" right="3.937007874015748E-2" top="0" bottom="0" header="0.31496062992125984" footer="0.31496062992125984"/>
  <pageSetup paperSize="9" scale="2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B2:W46"/>
  <sheetViews>
    <sheetView rightToLeft="1" view="pageBreakPreview" topLeftCell="A16" zoomScale="90" zoomScaleNormal="70" zoomScaleSheetLayoutView="90" workbookViewId="0">
      <selection activeCell="C18" sqref="C18:W20"/>
    </sheetView>
  </sheetViews>
  <sheetFormatPr baseColWidth="10" defaultColWidth="11.42578125" defaultRowHeight="15"/>
  <cols>
    <col min="1" max="1" width="3.7109375" style="1" customWidth="1"/>
    <col min="2" max="2" width="36.85546875" style="1" customWidth="1"/>
    <col min="3" max="3" width="20.28515625" style="1" customWidth="1"/>
    <col min="4" max="4" width="26.85546875" style="1" customWidth="1"/>
    <col min="5" max="5" width="0.140625" style="1" customWidth="1"/>
    <col min="6" max="6" width="21.28515625" style="1" hidden="1" customWidth="1"/>
    <col min="7" max="7" width="14.28515625" style="1" customWidth="1"/>
    <col min="8" max="8" width="0.28515625" style="1" hidden="1" customWidth="1"/>
    <col min="9" max="9" width="17.42578125" style="1" hidden="1" customWidth="1"/>
    <col min="10" max="10" width="13.28515625" style="1" customWidth="1"/>
    <col min="11" max="11" width="19.28515625" style="1" hidden="1" customWidth="1"/>
    <col min="12" max="12" width="31.140625" style="1" hidden="1" customWidth="1"/>
    <col min="13" max="13" width="14.7109375" style="1" customWidth="1"/>
    <col min="14" max="14" width="29.140625" style="1" hidden="1" customWidth="1"/>
    <col min="15" max="15" width="0.140625" style="1" hidden="1" customWidth="1"/>
    <col min="16" max="16" width="17" style="1" customWidth="1"/>
    <col min="17" max="17" width="15.42578125" style="1" customWidth="1"/>
    <col min="18" max="18" width="15.28515625" style="1" customWidth="1"/>
    <col min="19" max="19" width="16.85546875" style="1" customWidth="1"/>
    <col min="20" max="20" width="17.42578125" style="1" customWidth="1"/>
    <col min="21" max="21" width="13.5703125" style="1" customWidth="1"/>
    <col min="22" max="22" width="15.7109375" style="1" customWidth="1"/>
    <col min="23" max="23" width="66.7109375" style="1" customWidth="1"/>
    <col min="24" max="24" width="4" style="1" customWidth="1"/>
    <col min="25" max="30" width="11.42578125" style="1"/>
    <col min="31" max="36" width="11.42578125" style="1" customWidth="1"/>
    <col min="37" max="16384" width="11.42578125" style="1"/>
  </cols>
  <sheetData>
    <row r="2" spans="2:23" ht="18.75" customHeight="1"/>
    <row r="3" spans="2:23" ht="194.25" customHeight="1">
      <c r="B3" s="288" t="s">
        <v>201</v>
      </c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89"/>
      <c r="U3" s="289"/>
      <c r="V3" s="289"/>
      <c r="W3" s="289"/>
    </row>
    <row r="4" spans="2:23" ht="40.5" customHeight="1">
      <c r="B4" s="290" t="s">
        <v>61</v>
      </c>
      <c r="C4" s="290"/>
      <c r="D4" s="290"/>
      <c r="E4" s="290"/>
      <c r="F4" s="27"/>
      <c r="G4" s="27"/>
      <c r="H4" s="27"/>
      <c r="I4" s="27"/>
    </row>
    <row r="5" spans="2:23" ht="15.75" thickBot="1"/>
    <row r="6" spans="2:23" ht="107.25" customHeight="1" thickTop="1" thickBot="1">
      <c r="B6" s="283" t="s">
        <v>15</v>
      </c>
      <c r="C6" s="283" t="s">
        <v>14</v>
      </c>
      <c r="D6" s="285" t="s">
        <v>90</v>
      </c>
      <c r="E6" s="284" t="s">
        <v>56</v>
      </c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 t="s">
        <v>79</v>
      </c>
      <c r="R6" s="284" t="s">
        <v>80</v>
      </c>
      <c r="S6" s="284" t="s">
        <v>84</v>
      </c>
      <c r="T6" s="284" t="s">
        <v>57</v>
      </c>
      <c r="U6" s="284" t="s">
        <v>58</v>
      </c>
      <c r="V6" s="284" t="s">
        <v>59</v>
      </c>
      <c r="W6" s="284" t="s">
        <v>49</v>
      </c>
    </row>
    <row r="7" spans="2:23" ht="75.75" customHeight="1" thickTop="1" thickBot="1">
      <c r="B7" s="283"/>
      <c r="C7" s="283"/>
      <c r="D7" s="286"/>
      <c r="E7" s="17" t="s">
        <v>104</v>
      </c>
      <c r="F7" s="17" t="s">
        <v>105</v>
      </c>
      <c r="G7" s="17" t="s">
        <v>13</v>
      </c>
      <c r="H7" s="17" t="s">
        <v>106</v>
      </c>
      <c r="I7" s="17" t="s">
        <v>107</v>
      </c>
      <c r="J7" s="17" t="s">
        <v>81</v>
      </c>
      <c r="K7" s="17" t="s">
        <v>108</v>
      </c>
      <c r="L7" s="17" t="s">
        <v>109</v>
      </c>
      <c r="M7" s="17" t="s">
        <v>82</v>
      </c>
      <c r="N7" s="17" t="s">
        <v>110</v>
      </c>
      <c r="O7" s="17" t="s">
        <v>111</v>
      </c>
      <c r="P7" s="17" t="s">
        <v>60</v>
      </c>
      <c r="Q7" s="284"/>
      <c r="R7" s="284"/>
      <c r="S7" s="284"/>
      <c r="T7" s="284"/>
      <c r="U7" s="284"/>
      <c r="V7" s="284"/>
      <c r="W7" s="284"/>
    </row>
    <row r="8" spans="2:23" ht="50.25" customHeight="1" thickTop="1" thickBot="1">
      <c r="B8" s="193"/>
      <c r="C8" s="193" t="str">
        <f>IF(ISBLANK($B8),"",IF(ISBLANK(VLOOKUP($B8,الاجتياز!$B$9:$AN$38,2,FALSE)),"",VLOOKUP($B8,الاجتياز!$B$9:$AN$38,2,FALSE)))</f>
        <v/>
      </c>
      <c r="D8" s="193" t="str">
        <f>IF(ISBLANK($B8),"",IF(ISBLANK(VLOOKUP($B8,الاجتياز!$B$9:$AN$38,3,FALSE)),"",VLOOKUP($B8,الاجتياز!$B$9:$AN$38,3,FALSE)))</f>
        <v/>
      </c>
      <c r="E8" s="193" t="str">
        <f>IF(ISBLANK($B8),"",IF(ISBLANK(VLOOKUP($B8,الاجتياز!$B$9:$AN$38,4,FALSE)),"",VLOOKUP($B8,الاجتياز!$B$9:$AN$38,4,FALSE)))</f>
        <v/>
      </c>
      <c r="F8" s="193" t="str">
        <f>IF(ISBLANK($B8),"",IF(ISBLANK(VLOOKUP($B8,الاجتياز!$B$9:$AN$38,5,FALSE)),"",VLOOKUP($B8,الاجتياز!$B$9:$AN$38,5,FALSE)))</f>
        <v/>
      </c>
      <c r="G8" s="193" t="str">
        <f>IF(SUM(E8,F8)=0,"",SUM(E8,F8))</f>
        <v/>
      </c>
      <c r="H8" s="193" t="str">
        <f>IF(ISBLANK($B8),"",IF(ISBLANK(VLOOKUP($B8,الاجتياز!$B$9:$AN$38,6,FALSE)),"",VLOOKUP($B8,الاجتياز!$B$9:$AN$38,6,FALSE)))</f>
        <v/>
      </c>
      <c r="I8" s="45" t="str">
        <f>IF(ISBLANK($B8),"",IF(ISBLANK(VLOOKUP($B8,الاجتياز!$B$9:$AN$38,7,FALSE)),"",VLOOKUP($B8,الاجتياز!$B$9:$AN$38,7,FALSE)))</f>
        <v/>
      </c>
      <c r="J8" s="193" t="str">
        <f>IF(SUM(H8,I8)=0,"",SUM(H8,I8))</f>
        <v/>
      </c>
      <c r="K8" s="45" t="str">
        <f>IF(ISBLANK($B8),"",IF(ISBLANK(VLOOKUP($B8,الاجتياز!$B$9:$AN$38,8,FALSE)),"",VLOOKUP($B8,الاجتياز!$B$9:$AN$38,8,FALSE)))</f>
        <v/>
      </c>
      <c r="L8" s="193" t="str">
        <f>IF(ISBLANK($B8),"",IF(ISBLANK(VLOOKUP($B8,الاجتياز!$B$9:$AN$38,9,FALSE)),"",VLOOKUP($B8,الاجتياز!$B$9:$AN$38,9,FALSE)))</f>
        <v/>
      </c>
      <c r="M8" s="193" t="str">
        <f>IF(SUM(K8,L8)=0,"",SUM(K8,L8))</f>
        <v/>
      </c>
      <c r="N8" s="193" t="str">
        <f>IF(ISBLANK($B8),"",IF(ISBLANK(VLOOKUP($B8,الاجتياز!$B$9:$AN$38,13,FALSE)),"",VLOOKUP($B8,الاجتياز!$B$9:$AN$38,13,FALSE)))</f>
        <v/>
      </c>
      <c r="O8" s="45" t="str">
        <f>IF(ISBLANK($B8),"",IF(ISBLANK(VLOOKUP($B8,الاجتياز!$B$9:$AN$38,14,FALSE)),"",VLOOKUP($B8,الاجتياز!$B$9:$AN$38,14,FALSE)))</f>
        <v/>
      </c>
      <c r="P8" s="193" t="str">
        <f>IF(SUM(N8,O8)=0,"",SUM(N8,O8))</f>
        <v/>
      </c>
      <c r="Q8" s="195" t="str">
        <f>IF(ISBLANK($B8),"",IF(ISBLANK(VLOOKUP($B8,الاجتياز!$B$9:$AN$38,15,FALSE)),"",VLOOKUP($B8,الاجتياز!$B$9:$AN$38,15,FALSE)))</f>
        <v/>
      </c>
      <c r="R8" s="195" t="str">
        <f>IF(ISBLANK($B8),"",IF(ISBLANK(VLOOKUP($B8,الاجتياز!$B$9:$AN$38,16,FALSE)),"",VLOOKUP($B8,الاجتياز!$B$9:$AN$38,16,FALSE)))</f>
        <v/>
      </c>
      <c r="S8" s="193" t="str">
        <f>IF(ISBLANK($B8),"",IF(ISBLANK(VLOOKUP($B8,الاجتياز!$B$9:$AN$38,20,FALSE)),"",VLOOKUP($B8,الاجتياز!$B$9:$AN$38,20,FALSE)))</f>
        <v/>
      </c>
      <c r="T8" s="193" t="str">
        <f>IF(ISBLANK($B8),"",IF(ISBLANK(VLOOKUP($B8,الاجتياز!$B$9:$AN$38,21,FALSE)),"",VLOOKUP($B8,الاجتياز!$B$9:$AN$38,21,FALSE)))</f>
        <v/>
      </c>
      <c r="U8" s="193" t="str">
        <f>IF(ISBLANK($B8),"",IF(ISBLANK(VLOOKUP($B8,الاجتياز!$B$9:$AN$38,22,FALSE)),"",VLOOKUP($B8,الاجتياز!$B$9:$AN$38,22,FALSE)))</f>
        <v/>
      </c>
      <c r="V8" s="193" t="str">
        <f>IF(ISBLANK($B8),"",IF(ISBLANK(VLOOKUP($B8,الاجتياز!$B$9:$AN$38,18,FALSE)),"",VLOOKUP($B8,الاجتياز!$B$9:$AN$38,18,FALSE)))</f>
        <v/>
      </c>
      <c r="W8" s="192" t="str">
        <f>IF(ISBLANK($B8),"",IF(ISBLANK(VLOOKUP($B8,الاجتياز!$B$9:$AN$38,39,FALSE)),"",VLOOKUP($B8,الاجتياز!$B$9:$AN$38,39,FALSE)))</f>
        <v/>
      </c>
    </row>
    <row r="9" spans="2:23" ht="48.75" hidden="1" customHeight="1" thickTop="1" thickBot="1">
      <c r="B9" s="191"/>
      <c r="C9" s="201" t="str">
        <f>IF(ISBLANK($B9),"",IF(ISBLANK(VLOOKUP($B9,الاجتياز!$B$9:$AN$38,2,FALSE)),"",VLOOKUP($B9,الاجتياز!$B$9:$AN$38,2,FALSE)))</f>
        <v/>
      </c>
      <c r="D9" s="201" t="str">
        <f>IF(ISBLANK($B9),"",IF(ISBLANK(VLOOKUP($B9,الاجتياز!$B$9:$AN$38,3,FALSE)),"",VLOOKUP($B9,الاجتياز!$B$9:$AN$38,3,FALSE)))</f>
        <v/>
      </c>
      <c r="E9" s="201" t="str">
        <f>IF(ISBLANK($B9),"",IF(ISBLANK(VLOOKUP($B9,الاجتياز!$B$9:$AN$38,4,FALSE)),"",VLOOKUP($B9,الاجتياز!$B$9:$AN$38,4,FALSE)))</f>
        <v/>
      </c>
      <c r="F9" s="201" t="str">
        <f>IF(ISBLANK($B9),"",IF(ISBLANK(VLOOKUP($B9,الاجتياز!$B$9:$AN$38,5,FALSE)),"",VLOOKUP($B9,الاجتياز!$B$9:$AN$38,5,FALSE)))</f>
        <v/>
      </c>
      <c r="G9" s="201" t="str">
        <f t="shared" ref="G9" si="0">IF(SUM(E9,F9)=0,"",SUM(E9,F9))</f>
        <v/>
      </c>
      <c r="H9" s="201" t="str">
        <f>IF(ISBLANK($B9),"",IF(ISBLANK(VLOOKUP($B9,الاجتياز!$B$9:$AN$38,6,FALSE)),"",VLOOKUP($B9,الاجتياز!$B$9:$AN$38,6,FALSE)))</f>
        <v/>
      </c>
      <c r="I9" s="45" t="str">
        <f>IF(ISBLANK($B9),"",IF(ISBLANK(VLOOKUP($B9,الاجتياز!$B$9:$AN$38,7,FALSE)),"",VLOOKUP($B9,الاجتياز!$B$9:$AN$38,7,FALSE)))</f>
        <v/>
      </c>
      <c r="J9" s="201" t="str">
        <f t="shared" ref="J9" si="1">IF(SUM(H9,I9)=0,"",SUM(H9,I9))</f>
        <v/>
      </c>
      <c r="K9" s="45" t="str">
        <f>IF(ISBLANK($B9),"",IF(ISBLANK(VLOOKUP($B9,الاجتياز!$B$9:$AN$38,8,FALSE)),"",VLOOKUP($B9,الاجتياز!$B$9:$AN$38,8,FALSE)))</f>
        <v/>
      </c>
      <c r="L9" s="201" t="str">
        <f>IF(ISBLANK($B9),"",IF(ISBLANK(VLOOKUP($B9,الاجتياز!$B$9:$AN$38,9,FALSE)),"",VLOOKUP($B9,الاجتياز!$B$9:$AN$38,9,FALSE)))</f>
        <v/>
      </c>
      <c r="M9" s="201" t="str">
        <f t="shared" ref="M9" si="2">IF(SUM(K9,L9)=0,"",SUM(K9,L9))</f>
        <v/>
      </c>
      <c r="N9" s="201" t="str">
        <f>IF(ISBLANK($B9),"",IF(ISBLANK(VLOOKUP($B9,الاجتياز!$B$9:$AN$38,13,FALSE)),"",VLOOKUP($B9,الاجتياز!$B$9:$AN$38,13,FALSE)))</f>
        <v/>
      </c>
      <c r="O9" s="45" t="str">
        <f>IF(ISBLANK($B9),"",IF(ISBLANK(VLOOKUP($B9,الاجتياز!$B$9:$AN$38,14,FALSE)),"",VLOOKUP($B9,الاجتياز!$B$9:$AN$38,14,FALSE)))</f>
        <v/>
      </c>
      <c r="P9" s="201" t="str">
        <f t="shared" ref="P9" si="3">IF(SUM(N9,O9)=0,"",SUM(N9,O9))</f>
        <v/>
      </c>
      <c r="Q9" s="201" t="str">
        <f>IF(ISBLANK($B9),"",IF(ISBLANK(VLOOKUP($B9,الاجتياز!$B$9:$AN$38,15,FALSE)),"",VLOOKUP($B9,الاجتياز!$B$9:$AN$38,15,FALSE)))</f>
        <v/>
      </c>
      <c r="R9" s="201" t="str">
        <f>IF(ISBLANK($B9),"",IF(ISBLANK(VLOOKUP($B9,الاجتياز!$B$9:$AN$38,16,FALSE)),"",VLOOKUP($B9,الاجتياز!$B$9:$AN$38,16,FALSE)))</f>
        <v/>
      </c>
      <c r="S9" s="201" t="str">
        <f>IF(ISBLANK($B9),"",IF(ISBLANK(VLOOKUP($B9,الاجتياز!$B$9:$AN$38,20,FALSE)),"",VLOOKUP($B9,الاجتياز!$B$9:$AN$38,20,FALSE)))</f>
        <v/>
      </c>
      <c r="T9" s="201" t="str">
        <f>IF(ISBLANK($B9),"",IF(ISBLANK(VLOOKUP($B9,الاجتياز!$B$9:$AN$38,21,FALSE)),"",VLOOKUP($B9,الاجتياز!$B$9:$AN$38,21,FALSE)))</f>
        <v/>
      </c>
      <c r="U9" s="201" t="str">
        <f>IF(ISBLANK($B9),"",IF(ISBLANK(VLOOKUP($B9,الاجتياز!$B$9:$AN$38,22,FALSE)),"",VLOOKUP($B9,الاجتياز!$B$9:$AN$38,22,FALSE)))</f>
        <v/>
      </c>
      <c r="V9" s="201" t="str">
        <f>IF(ISBLANK($B9),"",IF(ISBLANK(VLOOKUP($B9,الاجتياز!$B$9:$AN$38,18,FALSE)),"",VLOOKUP($B9,الاجتياز!$B$9:$AN$38,18,FALSE)))</f>
        <v/>
      </c>
      <c r="W9" s="200" t="str">
        <f>IF(ISBLANK($B9),"",IF(ISBLANK(VLOOKUP($B9,الاجتياز!$B$9:$AN$38,39,FALSE)),"",VLOOKUP($B9,الاجتياز!$B$9:$AN$38,39,FALSE)))</f>
        <v/>
      </c>
    </row>
    <row r="10" spans="2:23" ht="41.25" customHeight="1" thickTop="1" thickBot="1">
      <c r="B10" s="268" t="s">
        <v>55</v>
      </c>
      <c r="C10" s="281">
        <f>SUM(C8:C9)</f>
        <v>0</v>
      </c>
      <c r="D10" s="277" t="s">
        <v>91</v>
      </c>
      <c r="E10" s="8" t="e">
        <f>SUM(#REF!)</f>
        <v>#REF!</v>
      </c>
      <c r="F10" s="8" t="e">
        <f>SUM(#REF!)</f>
        <v>#REF!</v>
      </c>
      <c r="G10" s="8">
        <f t="shared" ref="G10:M10" si="4">SUM(G8:G9)</f>
        <v>0</v>
      </c>
      <c r="H10" s="8">
        <f t="shared" si="4"/>
        <v>0</v>
      </c>
      <c r="I10" s="8">
        <f t="shared" si="4"/>
        <v>0</v>
      </c>
      <c r="J10" s="8">
        <f t="shared" si="4"/>
        <v>0</v>
      </c>
      <c r="K10" s="8">
        <f t="shared" si="4"/>
        <v>0</v>
      </c>
      <c r="L10" s="8">
        <f t="shared" si="4"/>
        <v>0</v>
      </c>
      <c r="M10" s="8">
        <f t="shared" si="4"/>
        <v>0</v>
      </c>
      <c r="N10" s="277" t="e">
        <f>SUM(#REF!)</f>
        <v>#REF!</v>
      </c>
      <c r="O10" s="277" t="e">
        <f>SUM(#REF!)</f>
        <v>#REF!</v>
      </c>
      <c r="P10" s="277">
        <f t="shared" ref="P10:V10" si="5">SUM(P8:P9)</f>
        <v>0</v>
      </c>
      <c r="Q10" s="8">
        <f t="shared" si="5"/>
        <v>0</v>
      </c>
      <c r="R10" s="8">
        <f t="shared" si="5"/>
        <v>0</v>
      </c>
      <c r="S10" s="277">
        <f t="shared" si="5"/>
        <v>0</v>
      </c>
      <c r="T10" s="277">
        <f t="shared" si="5"/>
        <v>0</v>
      </c>
      <c r="U10" s="277">
        <f t="shared" si="5"/>
        <v>0</v>
      </c>
      <c r="V10" s="277">
        <f t="shared" si="5"/>
        <v>0</v>
      </c>
      <c r="W10" s="269" t="s">
        <v>72</v>
      </c>
    </row>
    <row r="11" spans="2:23" ht="35.25" customHeight="1" thickTop="1" thickBot="1">
      <c r="B11" s="268"/>
      <c r="C11" s="282"/>
      <c r="D11" s="278"/>
      <c r="E11" s="279">
        <f>+G10+J10+M10</f>
        <v>0</v>
      </c>
      <c r="F11" s="287"/>
      <c r="G11" s="287"/>
      <c r="H11" s="287"/>
      <c r="I11" s="287"/>
      <c r="J11" s="287"/>
      <c r="K11" s="287"/>
      <c r="L11" s="287"/>
      <c r="M11" s="280"/>
      <c r="N11" s="278"/>
      <c r="O11" s="278"/>
      <c r="P11" s="278"/>
      <c r="Q11" s="279">
        <f>Q10+R10</f>
        <v>0</v>
      </c>
      <c r="R11" s="280"/>
      <c r="S11" s="278"/>
      <c r="T11" s="278"/>
      <c r="U11" s="278"/>
      <c r="V11" s="278"/>
      <c r="W11" s="270"/>
    </row>
    <row r="12" spans="2:23" ht="20.25" customHeight="1" thickTop="1">
      <c r="B12" s="139"/>
      <c r="C12" s="139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1"/>
    </row>
    <row r="14" spans="2:23" ht="40.5" customHeight="1">
      <c r="B14" s="291" t="s">
        <v>62</v>
      </c>
      <c r="C14" s="291"/>
      <c r="D14" s="291"/>
      <c r="E14" s="291"/>
      <c r="F14" s="28"/>
      <c r="G14" s="28"/>
      <c r="H14" s="28"/>
      <c r="I14" s="28"/>
    </row>
    <row r="15" spans="2:23" ht="15.75" thickBot="1"/>
    <row r="16" spans="2:23" ht="68.25" customHeight="1" thickTop="1" thickBot="1">
      <c r="B16" s="283" t="s">
        <v>15</v>
      </c>
      <c r="C16" s="283" t="s">
        <v>14</v>
      </c>
      <c r="D16" s="285" t="s">
        <v>90</v>
      </c>
      <c r="E16" s="284" t="s">
        <v>56</v>
      </c>
      <c r="F16" s="284"/>
      <c r="G16" s="284"/>
      <c r="H16" s="284"/>
      <c r="I16" s="284"/>
      <c r="J16" s="284"/>
      <c r="K16" s="284"/>
      <c r="L16" s="284"/>
      <c r="M16" s="284"/>
      <c r="N16" s="284"/>
      <c r="O16" s="284"/>
      <c r="P16" s="284"/>
      <c r="Q16" s="284" t="s">
        <v>79</v>
      </c>
      <c r="R16" s="284" t="s">
        <v>80</v>
      </c>
      <c r="S16" s="284" t="s">
        <v>84</v>
      </c>
      <c r="T16" s="284" t="s">
        <v>57</v>
      </c>
      <c r="U16" s="284" t="s">
        <v>58</v>
      </c>
      <c r="V16" s="284" t="s">
        <v>59</v>
      </c>
      <c r="W16" s="284" t="s">
        <v>49</v>
      </c>
    </row>
    <row r="17" spans="2:23" ht="72.75" customHeight="1" thickTop="1" thickBot="1">
      <c r="B17" s="283"/>
      <c r="C17" s="283"/>
      <c r="D17" s="286"/>
      <c r="E17" s="17" t="s">
        <v>104</v>
      </c>
      <c r="F17" s="17" t="s">
        <v>105</v>
      </c>
      <c r="G17" s="17" t="s">
        <v>13</v>
      </c>
      <c r="H17" s="17" t="s">
        <v>106</v>
      </c>
      <c r="I17" s="17" t="s">
        <v>107</v>
      </c>
      <c r="J17" s="17" t="s">
        <v>81</v>
      </c>
      <c r="K17" s="17" t="s">
        <v>108</v>
      </c>
      <c r="L17" s="17" t="s">
        <v>109</v>
      </c>
      <c r="M17" s="17" t="s">
        <v>82</v>
      </c>
      <c r="N17" s="17" t="s">
        <v>110</v>
      </c>
      <c r="O17" s="17" t="s">
        <v>111</v>
      </c>
      <c r="P17" s="17" t="s">
        <v>60</v>
      </c>
      <c r="Q17" s="284"/>
      <c r="R17" s="284"/>
      <c r="S17" s="284"/>
      <c r="T17" s="284"/>
      <c r="U17" s="284"/>
      <c r="V17" s="284"/>
      <c r="W17" s="284"/>
    </row>
    <row r="18" spans="2:23" ht="57" customHeight="1" thickTop="1" thickBot="1">
      <c r="B18" s="201" t="s">
        <v>34</v>
      </c>
      <c r="C18" s="201">
        <f>IF(ISBLANK($B18),"",IF(ISBLANK(VLOOKUP($B18,الاجتياز!$B$53:$AN$82,2,FALSE)),"",VLOOKUP($B18,الاجتياز!$B$53:$AN$82,2,FALSE)))</f>
        <v>1</v>
      </c>
      <c r="D18" s="201" t="str">
        <f>IF(ISBLANK($B18),"",IF(ISBLANK(VLOOKUP($B18,الاجتياز!$B$53:$AN$82,3,FALSE)),"",VLOOKUP($B18,الاجتياز!$B$53:$AN$82,3,FALSE)))</f>
        <v>قلعة سنان</v>
      </c>
      <c r="E18" s="201" t="str">
        <f>IF(ISBLANK($B18),"",IF(ISBLANK(VLOOKUP($B18,الاجتياز!$B$53:$AN$82,4,FALSE)),"",VLOOKUP($B18,الاجتياز!$B$53:$AN$82,4,FALSE)))</f>
        <v/>
      </c>
      <c r="F18" s="201" t="str">
        <f>IF(ISBLANK($B18),"",IF(ISBLANK(VLOOKUP($B18,الاجتياز!$B$53:$AN$82,5,FALSE)),"",VLOOKUP($B18,الاجتياز!$B$53:$AN$82,5,FALSE)))</f>
        <v/>
      </c>
      <c r="G18" s="201" t="str">
        <f>IF(SUM(E18,F18)=0,"",SUM(E18,F18))</f>
        <v/>
      </c>
      <c r="H18" s="201" t="str">
        <f>IF(ISBLANK($B18),"",IF(ISBLANK(VLOOKUP($B18,الاجتياز!$B$53:$AN$82,6,FALSE)),"",VLOOKUP($B18,الاجتياز!$B$53:$AN$82,6,FALSE)))</f>
        <v/>
      </c>
      <c r="I18" s="201" t="str">
        <f>IF(ISBLANK($B18),"",IF(ISBLANK(VLOOKUP($B18,الاجتياز!$B$53:$AN$82,7,FALSE)),"",VLOOKUP($B18,الاجتياز!$B$53:$AN$82,7,FALSE)))</f>
        <v/>
      </c>
      <c r="J18" s="201" t="str">
        <f>IF(SUM(H18,I18)=0,"",SUM(H18,I18))</f>
        <v/>
      </c>
      <c r="K18" s="201">
        <f>IF(ISBLANK($B18),"",IF(ISBLANK(VLOOKUP($B18,الاجتياز!$B$53:$AN$82,8,FALSE)),"",VLOOKUP($B18,الاجتياز!$B$53:$AN$82,8,FALSE)))</f>
        <v>1</v>
      </c>
      <c r="L18" s="201" t="str">
        <f>IF(ISBLANK($B18),"",IF(ISBLANK(VLOOKUP($B18,الاجتياز!$B$53:$AN$82,9,FALSE)),"",VLOOKUP($B18,الاجتياز!$B$53:$AN$82,9,FALSE)))</f>
        <v/>
      </c>
      <c r="M18" s="201">
        <f>IF(SUM(K18,L18)=0,"",SUM(K18,L18))</f>
        <v>1</v>
      </c>
      <c r="N18" s="201" t="str">
        <f>IF(ISBLANK($B18),"",IF(ISBLANK(VLOOKUP($B18,الاجتياز!$B$53:$AN$82,13,FALSE)),"",VLOOKUP($B18,الاجتياز!$B$53:$AN$82,13,FALSE)))</f>
        <v/>
      </c>
      <c r="O18" s="201">
        <f>IF(ISBLANK($B18),"",IF(ISBLANK(VLOOKUP($B18,الاجتياز!$B$53:$AN$82,14,FALSE)),"",VLOOKUP($B18,الاجتياز!$B$53:$AN$82,14,FALSE)))</f>
        <v>1</v>
      </c>
      <c r="P18" s="201">
        <f>IF(SUM(N18,O18)=0,"",SUM(N18,O18))</f>
        <v>1</v>
      </c>
      <c r="Q18" s="201" t="str">
        <f>IF(ISBLANK($B18),"",IF(ISBLANK(VLOOKUP($B18,الاجتياز!$B$53:$AN$82,15,FALSE)),"",VLOOKUP($B18,الاجتياز!$B$53:$AN$82,15,FALSE)))</f>
        <v/>
      </c>
      <c r="R18" s="201" t="str">
        <f>IF(ISBLANK($B18),"",IF(ISBLANK(VLOOKUP($B18,الاجتياز!$B$53:$AN$82,16,FALSE)),"",VLOOKUP($B18,الاجتياز!$B$53:$AN$82,16,FALSE)))</f>
        <v/>
      </c>
      <c r="S18" s="201" t="str">
        <f>IF(ISBLANK($B18),"",IF(ISBLANK(VLOOKUP($B18,الاجتياز!$B$53:$AN$82,20,FALSE)),"",VLOOKUP($B18,الاجتياز!$B$53:$AN$82,20,FALSE)))</f>
        <v/>
      </c>
      <c r="T18" s="201" t="str">
        <f>IF(ISBLANK($B18),"",IF(ISBLANK(VLOOKUP($B18,الاجتياز!$B$53:$AN$82,21,FALSE)),"",VLOOKUP($B18,الاجتياز!$B$53:$AN$82,21,FALSE)))</f>
        <v/>
      </c>
      <c r="U18" s="201" t="str">
        <f>IF(ISBLANK($B18),"",IF(ISBLANK(VLOOKUP($B18,الاجتياز!$B$53:$AN$82,22,FALSE)),"",VLOOKUP($B18,الاجتياز!$B$53:$AN$82,22,FALSE)))</f>
        <v/>
      </c>
      <c r="V18" s="201" t="str">
        <f>IF(ISBLANK($B18),"",IF(ISBLANK(VLOOKUP($B18,الاجتياز!$B$53:$AN$82,18,FALSE)),"",VLOOKUP($B18,الاجتياز!$B$53:$AN$82,18,FALSE)))</f>
        <v/>
      </c>
      <c r="W18" s="204" t="str">
        <f>IF(ISBLANK($B18),"",IF(ISBLANK(VLOOKUP($B18,الاجتياز!$B$53:$AN$82,39,FALSE)),"",VLOOKUP($B18,الاجتياز!$B$53:$AN$82,39,FALSE)))</f>
        <v/>
      </c>
    </row>
    <row r="19" spans="2:23" ht="57" customHeight="1" thickTop="1" thickBot="1">
      <c r="B19" s="201" t="s">
        <v>28</v>
      </c>
      <c r="C19" s="201">
        <f>IF(ISBLANK($B19),"",IF(ISBLANK(VLOOKUP($B19,الاجتياز!$B$53:$AN$82,2,FALSE)),"",VLOOKUP($B19,الاجتياز!$B$53:$AN$82,2,FALSE)))</f>
        <v>1</v>
      </c>
      <c r="D19" s="201" t="str">
        <f>IF(ISBLANK($B19),"",IF(ISBLANK(VLOOKUP($B19,الاجتياز!$B$53:$AN$82,3,FALSE)),"",VLOOKUP($B19,الاجتياز!$B$53:$AN$82,3,FALSE)))</f>
        <v>تطاوين</v>
      </c>
      <c r="E19" s="201" t="str">
        <f>IF(ISBLANK($B19),"",IF(ISBLANK(VLOOKUP($B19,الاجتياز!$B$53:$AN$82,4,FALSE)),"",VLOOKUP($B19,الاجتياز!$B$53:$AN$82,4,FALSE)))</f>
        <v/>
      </c>
      <c r="F19" s="201" t="str">
        <f>IF(ISBLANK($B19),"",IF(ISBLANK(VLOOKUP($B19,الاجتياز!$B$53:$AN$82,5,FALSE)),"",VLOOKUP($B19,الاجتياز!$B$53:$AN$82,5,FALSE)))</f>
        <v/>
      </c>
      <c r="G19" s="201" t="str">
        <f t="shared" ref="G19:G20" si="6">IF(SUM(E19,F19)=0,"",SUM(E19,F19))</f>
        <v/>
      </c>
      <c r="H19" s="201" t="str">
        <f>IF(ISBLANK($B19),"",IF(ISBLANK(VLOOKUP($B19,الاجتياز!$B$53:$AN$82,6,FALSE)),"",VLOOKUP($B19,الاجتياز!$B$53:$AN$82,6,FALSE)))</f>
        <v/>
      </c>
      <c r="I19" s="201" t="str">
        <f>IF(ISBLANK($B19),"",IF(ISBLANK(VLOOKUP($B19,الاجتياز!$B$53:$AN$82,7,FALSE)),"",VLOOKUP($B19,الاجتياز!$B$53:$AN$82,7,FALSE)))</f>
        <v/>
      </c>
      <c r="J19" s="201" t="str">
        <f t="shared" ref="J19:J20" si="7">IF(SUM(H19,I19)=0,"",SUM(H19,I19))</f>
        <v/>
      </c>
      <c r="K19" s="201">
        <f>IF(ISBLANK($B19),"",IF(ISBLANK(VLOOKUP($B19,الاجتياز!$B$53:$AN$82,8,FALSE)),"",VLOOKUP($B19,الاجتياز!$B$53:$AN$82,8,FALSE)))</f>
        <v>1</v>
      </c>
      <c r="L19" s="201" t="str">
        <f>IF(ISBLANK($B19),"",IF(ISBLANK(VLOOKUP($B19,الاجتياز!$B$53:$AN$82,9,FALSE)),"",VLOOKUP($B19,الاجتياز!$B$53:$AN$82,9,FALSE)))</f>
        <v/>
      </c>
      <c r="M19" s="201">
        <f t="shared" ref="M19:M20" si="8">IF(SUM(K19,L19)=0,"",SUM(K19,L19))</f>
        <v>1</v>
      </c>
      <c r="N19" s="201" t="str">
        <f>IF(ISBLANK($B19),"",IF(ISBLANK(VLOOKUP($B19,الاجتياز!$B$53:$AN$82,13,FALSE)),"",VLOOKUP($B19,الاجتياز!$B$53:$AN$82,13,FALSE)))</f>
        <v/>
      </c>
      <c r="O19" s="201">
        <f>IF(ISBLANK($B19),"",IF(ISBLANK(VLOOKUP($B19,الاجتياز!$B$53:$AN$82,14,FALSE)),"",VLOOKUP($B19,الاجتياز!$B$53:$AN$82,14,FALSE)))</f>
        <v>1</v>
      </c>
      <c r="P19" s="201">
        <f t="shared" ref="P19:P20" si="9">IF(SUM(N19,O19)=0,"",SUM(N19,O19))</f>
        <v>1</v>
      </c>
      <c r="Q19" s="201" t="str">
        <f>IF(ISBLANK($B19),"",IF(ISBLANK(VLOOKUP($B19,الاجتياز!$B$53:$AN$82,15,FALSE)),"",VLOOKUP($B19,الاجتياز!$B$53:$AN$82,15,FALSE)))</f>
        <v/>
      </c>
      <c r="R19" s="201" t="str">
        <f>IF(ISBLANK($B19),"",IF(ISBLANK(VLOOKUP($B19,الاجتياز!$B$53:$AN$82,16,FALSE)),"",VLOOKUP($B19,الاجتياز!$B$53:$AN$82,16,FALSE)))</f>
        <v/>
      </c>
      <c r="S19" s="201" t="str">
        <f>IF(ISBLANK($B19),"",IF(ISBLANK(VLOOKUP($B19,الاجتياز!$B$53:$AN$82,20,FALSE)),"",VLOOKUP($B19,الاجتياز!$B$53:$AN$82,20,FALSE)))</f>
        <v/>
      </c>
      <c r="T19" s="201" t="str">
        <f>IF(ISBLANK($B19),"",IF(ISBLANK(VLOOKUP($B19,الاجتياز!$B$53:$AN$82,21,FALSE)),"",VLOOKUP($B19,الاجتياز!$B$53:$AN$82,21,FALSE)))</f>
        <v/>
      </c>
      <c r="U19" s="201" t="str">
        <f>IF(ISBLANK($B19),"",IF(ISBLANK(VLOOKUP($B19,الاجتياز!$B$53:$AN$82,22,FALSE)),"",VLOOKUP($B19,الاجتياز!$B$53:$AN$82,22,FALSE)))</f>
        <v/>
      </c>
      <c r="V19" s="201" t="str">
        <f>IF(ISBLANK($B19),"",IF(ISBLANK(VLOOKUP($B19,الاجتياز!$B$53:$AN$82,18,FALSE)),"",VLOOKUP($B19,الاجتياز!$B$53:$AN$82,18,FALSE)))</f>
        <v/>
      </c>
      <c r="W19" s="208" t="str">
        <f>IF(ISBLANK($B19),"",IF(ISBLANK(VLOOKUP($B19,الاجتياز!$B$53:$AN$82,39,FALSE)),"",VLOOKUP($B19,الاجتياز!$B$53:$AN$82,39,FALSE)))</f>
        <v/>
      </c>
    </row>
    <row r="20" spans="2:23" ht="52.5" customHeight="1" thickTop="1" thickBot="1">
      <c r="B20" s="187" t="s">
        <v>21</v>
      </c>
      <c r="C20" s="201" t="str">
        <f>IF(ISBLANK($B20),"",IF(ISBLANK(VLOOKUP($B20,الاجتياز!$B$53:$AN$82,2,FALSE)),"",VLOOKUP($B20,الاجتياز!$B$53:$AN$82,2,FALSE)))</f>
        <v/>
      </c>
      <c r="D20" s="201" t="str">
        <f>IF(ISBLANK($B20),"",IF(ISBLANK(VLOOKUP($B20,الاجتياز!$B$53:$AN$82,3,FALSE)),"",VLOOKUP($B20,الاجتياز!$B$53:$AN$82,3,FALSE)))</f>
        <v>العامرة</v>
      </c>
      <c r="E20" s="201" t="str">
        <f>IF(ISBLANK($B20),"",IF(ISBLANK(VLOOKUP($B20,الاجتياز!$B$53:$AN$82,4,FALSE)),"",VLOOKUP($B20,الاجتياز!$B$53:$AN$82,4,FALSE)))</f>
        <v/>
      </c>
      <c r="F20" s="201" t="str">
        <f>IF(ISBLANK($B20),"",IF(ISBLANK(VLOOKUP($B20,الاجتياز!$B$53:$AN$82,5,FALSE)),"",VLOOKUP($B20,الاجتياز!$B$53:$AN$82,5,FALSE)))</f>
        <v/>
      </c>
      <c r="G20" s="201" t="str">
        <f t="shared" si="6"/>
        <v/>
      </c>
      <c r="H20" s="201" t="str">
        <f>IF(ISBLANK($B20),"",IF(ISBLANK(VLOOKUP($B20,الاجتياز!$B$53:$AN$82,6,FALSE)),"",VLOOKUP($B20,الاجتياز!$B$53:$AN$82,6,FALSE)))</f>
        <v/>
      </c>
      <c r="I20" s="201" t="str">
        <f>IF(ISBLANK($B20),"",IF(ISBLANK(VLOOKUP($B20,الاجتياز!$B$53:$AN$82,7,FALSE)),"",VLOOKUP($B20,الاجتياز!$B$53:$AN$82,7,FALSE)))</f>
        <v/>
      </c>
      <c r="J20" s="201" t="str">
        <f t="shared" si="7"/>
        <v/>
      </c>
      <c r="K20" s="201" t="str">
        <f>IF(ISBLANK($B20),"",IF(ISBLANK(VLOOKUP($B20,الاجتياز!$B$53:$AN$82,8,FALSE)),"",VLOOKUP($B20,الاجتياز!$B$53:$AN$82,8,FALSE)))</f>
        <v/>
      </c>
      <c r="L20" s="201" t="str">
        <f>IF(ISBLANK($B20),"",IF(ISBLANK(VLOOKUP($B20,الاجتياز!$B$53:$AN$82,9,FALSE)),"",VLOOKUP($B20,الاجتياز!$B$53:$AN$82,9,FALSE)))</f>
        <v/>
      </c>
      <c r="M20" s="201" t="str">
        <f t="shared" si="8"/>
        <v/>
      </c>
      <c r="N20" s="201" t="str">
        <f>IF(ISBLANK($B20),"",IF(ISBLANK(VLOOKUP($B20,الاجتياز!$B$53:$AN$82,13,FALSE)),"",VLOOKUP($B20,الاجتياز!$B$53:$AN$82,13,FALSE)))</f>
        <v/>
      </c>
      <c r="O20" s="201" t="str">
        <f>IF(ISBLANK($B20),"",IF(ISBLANK(VLOOKUP($B20,الاجتياز!$B$53:$AN$82,14,FALSE)),"",VLOOKUP($B20,الاجتياز!$B$53:$AN$82,14,FALSE)))</f>
        <v/>
      </c>
      <c r="P20" s="201" t="str">
        <f t="shared" si="9"/>
        <v/>
      </c>
      <c r="Q20" s="201" t="str">
        <f>IF(ISBLANK($B20),"",IF(ISBLANK(VLOOKUP($B20,الاجتياز!$B$53:$AN$82,15,FALSE)),"",VLOOKUP($B20,الاجتياز!$B$53:$AN$82,15,FALSE)))</f>
        <v/>
      </c>
      <c r="R20" s="201">
        <f>IF(ISBLANK($B20),"",IF(ISBLANK(VLOOKUP($B20,الاجتياز!$B$53:$AN$82,16,FALSE)),"",VLOOKUP($B20,الاجتياز!$B$53:$AN$82,16,FALSE)))</f>
        <v>1</v>
      </c>
      <c r="S20" s="201" t="str">
        <f>IF(ISBLANK($B20),"",IF(ISBLANK(VLOOKUP($B20,الاجتياز!$B$53:$AN$82,20,FALSE)),"",VLOOKUP($B20,الاجتياز!$B$53:$AN$82,20,FALSE)))</f>
        <v/>
      </c>
      <c r="T20" s="201" t="str">
        <f>IF(ISBLANK($B20),"",IF(ISBLANK(VLOOKUP($B20,الاجتياز!$B$53:$AN$82,21,FALSE)),"",VLOOKUP($B20,الاجتياز!$B$53:$AN$82,21,FALSE)))</f>
        <v/>
      </c>
      <c r="U20" s="201" t="str">
        <f>IF(ISBLANK($B20),"",IF(ISBLANK(VLOOKUP($B20,الاجتياز!$B$53:$AN$82,22,FALSE)),"",VLOOKUP($B20,الاجتياز!$B$53:$AN$82,22,FALSE)))</f>
        <v/>
      </c>
      <c r="V20" s="201" t="str">
        <f>IF(ISBLANK($B20),"",IF(ISBLANK(VLOOKUP($B20,الاجتياز!$B$53:$AN$82,18,FALSE)),"",VLOOKUP($B20,الاجتياز!$B$53:$AN$82,18,FALSE)))</f>
        <v/>
      </c>
      <c r="W20" s="208" t="str">
        <f>IF(ISBLANK($B20),"",IF(ISBLANK(VLOOKUP($B20,الاجتياز!$B$53:$AN$82,39,FALSE)),"",VLOOKUP($B20,الاجتياز!$B$53:$AN$82,39,FALSE)))</f>
        <v xml:space="preserve">                 جرار فلاحي + صهريج مياه  / </v>
      </c>
    </row>
    <row r="21" spans="2:23" ht="45" customHeight="1" thickTop="1" thickBot="1">
      <c r="B21" s="271" t="s">
        <v>55</v>
      </c>
      <c r="C21" s="272">
        <f>SUM(C18:C20)</f>
        <v>2</v>
      </c>
      <c r="D21" s="272" t="s">
        <v>91</v>
      </c>
      <c r="E21" s="9" t="e">
        <f>+SUM(#REF!)</f>
        <v>#REF!</v>
      </c>
      <c r="F21" s="9" t="e">
        <f>+SUM(#REF!)</f>
        <v>#REF!</v>
      </c>
      <c r="G21" s="188">
        <f t="shared" ref="G21:M21" si="10">SUM(G18:G20)</f>
        <v>0</v>
      </c>
      <c r="H21" s="205">
        <f t="shared" si="10"/>
        <v>0</v>
      </c>
      <c r="I21" s="205">
        <f t="shared" si="10"/>
        <v>0</v>
      </c>
      <c r="J21" s="205">
        <f t="shared" si="10"/>
        <v>0</v>
      </c>
      <c r="K21" s="205">
        <f t="shared" si="10"/>
        <v>2</v>
      </c>
      <c r="L21" s="205">
        <f t="shared" si="10"/>
        <v>0</v>
      </c>
      <c r="M21" s="205">
        <f t="shared" si="10"/>
        <v>2</v>
      </c>
      <c r="N21" s="9" t="e">
        <f>+SUM(#REF!)</f>
        <v>#REF!</v>
      </c>
      <c r="O21" s="9" t="e">
        <f>+SUM(#REF!)</f>
        <v>#REF!</v>
      </c>
      <c r="P21" s="272">
        <f>SUM(P18:P20)</f>
        <v>2</v>
      </c>
      <c r="Q21" s="9">
        <f t="shared" ref="Q21:V21" si="11">+SUM(Q20:Q20)</f>
        <v>0</v>
      </c>
      <c r="R21" s="157">
        <v>0</v>
      </c>
      <c r="S21" s="272">
        <f t="shared" si="11"/>
        <v>0</v>
      </c>
      <c r="T21" s="272">
        <f t="shared" si="11"/>
        <v>0</v>
      </c>
      <c r="U21" s="272">
        <f t="shared" si="11"/>
        <v>0</v>
      </c>
      <c r="V21" s="272">
        <f t="shared" si="11"/>
        <v>0</v>
      </c>
      <c r="W21" s="276" t="s">
        <v>72</v>
      </c>
    </row>
    <row r="22" spans="2:23" ht="42" customHeight="1" thickTop="1" thickBot="1">
      <c r="B22" s="271"/>
      <c r="C22" s="272"/>
      <c r="D22" s="272"/>
      <c r="E22" s="273">
        <f>G21+J21+M21</f>
        <v>2</v>
      </c>
      <c r="F22" s="274"/>
      <c r="G22" s="274"/>
      <c r="H22" s="274"/>
      <c r="I22" s="274"/>
      <c r="J22" s="274"/>
      <c r="K22" s="274"/>
      <c r="L22" s="274"/>
      <c r="M22" s="275"/>
      <c r="N22" s="18"/>
      <c r="O22" s="18"/>
      <c r="P22" s="272"/>
      <c r="Q22" s="273">
        <f>Q21+R21</f>
        <v>0</v>
      </c>
      <c r="R22" s="275"/>
      <c r="S22" s="272"/>
      <c r="T22" s="272"/>
      <c r="U22" s="272"/>
      <c r="V22" s="272"/>
      <c r="W22" s="276"/>
    </row>
    <row r="23" spans="2:23" ht="15.75" thickTop="1"/>
    <row r="24" spans="2:23" ht="56.25" customHeight="1"/>
    <row r="31" spans="2:23" ht="90.75" customHeight="1"/>
    <row r="34" ht="47.25" customHeight="1"/>
    <row r="35" ht="33.75" customHeight="1"/>
    <row r="36" ht="42" customHeight="1"/>
    <row r="42" ht="18.75" customHeight="1"/>
    <row r="43" ht="18.75" customHeight="1"/>
    <row r="44" ht="18.75" customHeight="1"/>
    <row r="46" ht="70.5" customHeight="1"/>
  </sheetData>
  <sheetProtection formatRows="0" insertRows="0" deleteRows="0"/>
  <mergeCells count="49">
    <mergeCell ref="W16:W17"/>
    <mergeCell ref="B3:W3"/>
    <mergeCell ref="B4:E4"/>
    <mergeCell ref="B14:E14"/>
    <mergeCell ref="B16:B17"/>
    <mergeCell ref="C16:C17"/>
    <mergeCell ref="E16:P16"/>
    <mergeCell ref="Q16:Q17"/>
    <mergeCell ref="Q6:Q7"/>
    <mergeCell ref="T6:T7"/>
    <mergeCell ref="U6:U7"/>
    <mergeCell ref="V6:V7"/>
    <mergeCell ref="W6:W7"/>
    <mergeCell ref="B6:B7"/>
    <mergeCell ref="U16:U17"/>
    <mergeCell ref="V16:V17"/>
    <mergeCell ref="T16:T17"/>
    <mergeCell ref="R6:R7"/>
    <mergeCell ref="R16:R17"/>
    <mergeCell ref="S10:S11"/>
    <mergeCell ref="T10:T11"/>
    <mergeCell ref="C6:C7"/>
    <mergeCell ref="E6:P6"/>
    <mergeCell ref="S6:S7"/>
    <mergeCell ref="D21:D22"/>
    <mergeCell ref="S16:S17"/>
    <mergeCell ref="D10:D11"/>
    <mergeCell ref="D6:D7"/>
    <mergeCell ref="D16:D17"/>
    <mergeCell ref="E11:M11"/>
    <mergeCell ref="P10:P11"/>
    <mergeCell ref="N10:N11"/>
    <mergeCell ref="O10:O11"/>
    <mergeCell ref="B10:B11"/>
    <mergeCell ref="W10:W11"/>
    <mergeCell ref="B21:B22"/>
    <mergeCell ref="C21:C22"/>
    <mergeCell ref="P21:P22"/>
    <mergeCell ref="E22:M22"/>
    <mergeCell ref="S21:S22"/>
    <mergeCell ref="T21:T22"/>
    <mergeCell ref="U21:U22"/>
    <mergeCell ref="V21:V22"/>
    <mergeCell ref="W21:W22"/>
    <mergeCell ref="Q22:R22"/>
    <mergeCell ref="U10:U11"/>
    <mergeCell ref="V10:V11"/>
    <mergeCell ref="Q11:R11"/>
    <mergeCell ref="C10:C11"/>
  </mergeCells>
  <pageMargins left="0.25" right="0.25" top="0.75" bottom="0.75" header="0.3" footer="0.3"/>
  <pageSetup paperSize="9" scale="46" fitToHeight="0" orientation="landscape" r:id="rId1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بحرا!$A$2:$A$31</xm:f>
          </x14:formula1>
          <xm:sqref>B18:B20 B8:B9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B2:AN86"/>
  <sheetViews>
    <sheetView rightToLeft="1" view="pageBreakPreview" topLeftCell="A2" zoomScale="40" zoomScaleNormal="50" zoomScaleSheetLayoutView="40" workbookViewId="0">
      <selection activeCell="R21" sqref="R21"/>
    </sheetView>
  </sheetViews>
  <sheetFormatPr baseColWidth="10" defaultColWidth="11.42578125" defaultRowHeight="15"/>
  <cols>
    <col min="1" max="1" width="3.7109375" style="1" customWidth="1"/>
    <col min="2" max="2" width="42.140625" style="1" customWidth="1"/>
    <col min="3" max="3" width="19" style="1" customWidth="1"/>
    <col min="4" max="4" width="31.28515625" style="1" customWidth="1"/>
    <col min="5" max="5" width="28" style="1" customWidth="1"/>
    <col min="6" max="7" width="18" style="1" customWidth="1"/>
    <col min="8" max="9" width="23.140625" style="1" customWidth="1"/>
    <col min="10" max="13" width="17.42578125" style="1" customWidth="1"/>
    <col min="14" max="14" width="17.5703125" style="1" customWidth="1"/>
    <col min="15" max="15" width="16.140625" style="1" bestFit="1" customWidth="1"/>
    <col min="16" max="16" width="21.7109375" style="1" customWidth="1"/>
    <col min="17" max="17" width="22.28515625" style="1" customWidth="1"/>
    <col min="18" max="18" width="34" style="1" customWidth="1"/>
    <col min="19" max="19" width="20" style="1" customWidth="1"/>
    <col min="20" max="20" width="44.42578125" style="1" customWidth="1"/>
    <col min="21" max="21" width="42.42578125" style="1" hidden="1" customWidth="1"/>
    <col min="22" max="22" width="24.140625" style="1" hidden="1" customWidth="1"/>
    <col min="23" max="23" width="28.42578125" style="1" hidden="1" customWidth="1"/>
    <col min="24" max="24" width="0.28515625" style="1" hidden="1" customWidth="1"/>
    <col min="25" max="25" width="15.85546875" style="1" hidden="1" customWidth="1"/>
    <col min="26" max="26" width="12.28515625" style="1" hidden="1" customWidth="1"/>
    <col min="27" max="27" width="14.85546875" style="1" hidden="1" customWidth="1"/>
    <col min="28" max="28" width="13" style="1" hidden="1" customWidth="1"/>
    <col min="29" max="29" width="23.7109375" style="1" hidden="1" customWidth="1"/>
    <col min="30" max="30" width="23.42578125" style="1" hidden="1" customWidth="1"/>
    <col min="31" max="31" width="1.140625" style="1" hidden="1" customWidth="1"/>
    <col min="32" max="32" width="11.5703125" style="1" hidden="1" customWidth="1"/>
    <col min="33" max="33" width="34.85546875" style="1" hidden="1" customWidth="1"/>
    <col min="34" max="34" width="22.28515625" style="1" hidden="1" customWidth="1"/>
    <col min="35" max="35" width="18" style="1" hidden="1" customWidth="1"/>
    <col min="36" max="36" width="20.85546875" style="1" hidden="1" customWidth="1"/>
    <col min="37" max="37" width="14.85546875" style="1" hidden="1" customWidth="1"/>
    <col min="38" max="38" width="10.140625" style="1" hidden="1" customWidth="1"/>
    <col min="39" max="39" width="48.42578125" style="1" hidden="1" customWidth="1"/>
    <col min="40" max="40" width="71.5703125" style="1" customWidth="1"/>
    <col min="41" max="49" width="11.42578125" style="1"/>
    <col min="50" max="50" width="12.28515625" style="1" customWidth="1"/>
    <col min="51" max="16384" width="11.42578125" style="1"/>
  </cols>
  <sheetData>
    <row r="2" spans="2:40" ht="18.75" customHeight="1">
      <c r="B2" s="293" t="s">
        <v>52</v>
      </c>
      <c r="C2" s="293"/>
      <c r="D2" s="4"/>
      <c r="E2" s="4"/>
      <c r="F2" s="294" t="s">
        <v>196</v>
      </c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5" t="s">
        <v>200</v>
      </c>
      <c r="R2" s="295"/>
      <c r="S2" s="296" t="s">
        <v>197</v>
      </c>
      <c r="T2" s="2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</row>
    <row r="3" spans="2:40" ht="33" customHeight="1">
      <c r="B3" s="293" t="s">
        <v>53</v>
      </c>
      <c r="C3" s="293"/>
      <c r="D3" s="4"/>
      <c r="E3" s="4"/>
      <c r="F3" s="294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5"/>
      <c r="R3" s="295"/>
      <c r="S3" s="296"/>
      <c r="T3" s="2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</row>
    <row r="4" spans="2:40" ht="21" customHeight="1">
      <c r="B4" s="221" t="s">
        <v>54</v>
      </c>
      <c r="C4" s="221"/>
      <c r="D4" s="2"/>
      <c r="E4" s="2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5"/>
      <c r="R4" s="295"/>
      <c r="S4" s="296"/>
      <c r="T4" s="2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196"/>
      <c r="AM4" s="196"/>
      <c r="AN4" s="196"/>
    </row>
    <row r="5" spans="2:40" ht="33.75" customHeight="1" thickBot="1">
      <c r="B5" s="221" t="s">
        <v>207</v>
      </c>
      <c r="C5" s="221"/>
      <c r="D5" s="2"/>
      <c r="E5" s="2"/>
    </row>
    <row r="6" spans="2:40" ht="54" customHeight="1" thickTop="1" thickBot="1">
      <c r="B6" s="292" t="s">
        <v>45</v>
      </c>
      <c r="C6" s="292" t="s">
        <v>14</v>
      </c>
      <c r="D6" s="292" t="s">
        <v>90</v>
      </c>
      <c r="E6" s="292" t="s">
        <v>88</v>
      </c>
      <c r="F6" s="292"/>
      <c r="G6" s="292"/>
      <c r="H6" s="292"/>
      <c r="I6" s="292"/>
      <c r="J6" s="292"/>
      <c r="K6" s="292" t="s">
        <v>100</v>
      </c>
      <c r="L6" s="292"/>
      <c r="M6" s="292"/>
      <c r="N6" s="292" t="s">
        <v>46</v>
      </c>
      <c r="O6" s="292"/>
      <c r="P6" s="292" t="s">
        <v>79</v>
      </c>
      <c r="Q6" s="292" t="s">
        <v>80</v>
      </c>
      <c r="R6" s="292" t="s">
        <v>50</v>
      </c>
      <c r="S6" s="292" t="s">
        <v>47</v>
      </c>
      <c r="T6" s="292" t="s">
        <v>51</v>
      </c>
      <c r="U6" s="292" t="s">
        <v>83</v>
      </c>
      <c r="V6" s="292" t="s">
        <v>48</v>
      </c>
      <c r="W6" s="292" t="s">
        <v>95</v>
      </c>
      <c r="X6" s="292" t="s">
        <v>93</v>
      </c>
      <c r="Y6" s="292" t="s">
        <v>94</v>
      </c>
      <c r="Z6" s="292" t="s">
        <v>6</v>
      </c>
      <c r="AA6" s="292" t="s">
        <v>5</v>
      </c>
      <c r="AB6" s="292" t="s">
        <v>96</v>
      </c>
      <c r="AC6" s="292" t="s">
        <v>69</v>
      </c>
      <c r="AD6" s="292" t="s">
        <v>64</v>
      </c>
      <c r="AE6" s="292" t="s">
        <v>70</v>
      </c>
      <c r="AF6" s="292"/>
      <c r="AG6" s="292" t="s">
        <v>92</v>
      </c>
      <c r="AH6" s="292" t="s">
        <v>86</v>
      </c>
      <c r="AI6" s="292" t="s">
        <v>1</v>
      </c>
      <c r="AJ6" s="292" t="s">
        <v>0</v>
      </c>
      <c r="AK6" s="292" t="s">
        <v>112</v>
      </c>
      <c r="AL6" s="292" t="s">
        <v>113</v>
      </c>
      <c r="AM6" s="292" t="s">
        <v>0</v>
      </c>
      <c r="AN6" s="292" t="s">
        <v>49</v>
      </c>
    </row>
    <row r="7" spans="2:40" ht="54" customHeight="1" thickTop="1" thickBot="1">
      <c r="B7" s="292"/>
      <c r="C7" s="292"/>
      <c r="D7" s="292"/>
      <c r="E7" s="292" t="s">
        <v>13</v>
      </c>
      <c r="F7" s="292"/>
      <c r="G7" s="292" t="s">
        <v>75</v>
      </c>
      <c r="H7" s="292"/>
      <c r="I7" s="292" t="s">
        <v>76</v>
      </c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  <c r="AC7" s="292"/>
      <c r="AD7" s="292"/>
      <c r="AE7" s="29"/>
      <c r="AF7" s="29"/>
      <c r="AG7" s="292"/>
      <c r="AH7" s="292"/>
      <c r="AI7" s="292"/>
      <c r="AJ7" s="292"/>
      <c r="AK7" s="292"/>
      <c r="AL7" s="292"/>
      <c r="AM7" s="292"/>
      <c r="AN7" s="292"/>
    </row>
    <row r="8" spans="2:40" ht="84" customHeight="1" thickTop="1" thickBot="1">
      <c r="B8" s="292"/>
      <c r="C8" s="292"/>
      <c r="D8" s="292"/>
      <c r="E8" s="30" t="s">
        <v>98</v>
      </c>
      <c r="F8" s="29" t="s">
        <v>99</v>
      </c>
      <c r="G8" s="30" t="s">
        <v>98</v>
      </c>
      <c r="H8" s="29" t="s">
        <v>99</v>
      </c>
      <c r="I8" s="30" t="s">
        <v>98</v>
      </c>
      <c r="J8" s="29" t="s">
        <v>99</v>
      </c>
      <c r="K8" s="30" t="s">
        <v>101</v>
      </c>
      <c r="L8" s="30" t="s">
        <v>102</v>
      </c>
      <c r="M8" s="30" t="s">
        <v>103</v>
      </c>
      <c r="N8" s="29" t="s">
        <v>13</v>
      </c>
      <c r="O8" s="29" t="s">
        <v>12</v>
      </c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292"/>
      <c r="AE8" s="29" t="s">
        <v>66</v>
      </c>
      <c r="AF8" s="29" t="s">
        <v>65</v>
      </c>
      <c r="AG8" s="292"/>
      <c r="AH8" s="292"/>
      <c r="AI8" s="292"/>
      <c r="AJ8" s="292"/>
      <c r="AK8" s="292"/>
      <c r="AL8" s="292"/>
      <c r="AM8" s="292"/>
      <c r="AN8" s="292"/>
    </row>
    <row r="9" spans="2:40" ht="96" customHeight="1" thickTop="1" thickBot="1">
      <c r="B9" s="10" t="str">
        <f>بحرا!A2</f>
        <v>نابل</v>
      </c>
      <c r="C9" s="11" t="str">
        <f>IF(ISBLANK(VLOOKUP($B9,بحرا!$A$2:$AG$31,3,FALSE)),"",VLOOKUP($B9,بحرا!$A$2:$AG$31,3,FALSE))</f>
        <v/>
      </c>
      <c r="D9" s="11" t="str">
        <f>IF(ISBLANK(VLOOKUP($B9,بحرا!$A$2:$AG$31,2,FALSE)),"",VLOOKUP($B9,بحرا!$A$2:$AG$31,2,FALSE))</f>
        <v/>
      </c>
      <c r="E9" s="11" t="str">
        <f>IF(ISBLANK(VLOOKUP($B9,بحرا!$A$2:$AG$31,4,FALSE)),"",VLOOKUP($B9,بحرا!$A$2:$AG$31,4,FALSE))</f>
        <v/>
      </c>
      <c r="F9" s="11" t="str">
        <f>IF(ISBLANK(VLOOKUP($B9,بحرا!$A$2:$AG$31,5,FALSE)),"",VLOOKUP($B9,بحرا!$A$2:$AG$31,5,FALSE))</f>
        <v/>
      </c>
      <c r="G9" s="11" t="str">
        <f>IF(ISBLANK(VLOOKUP($B9,بحرا!$A$2:$AG$31,6,FALSE)),"",VLOOKUP($B9,بحرا!$A$2:$AG$31,6,FALSE))</f>
        <v/>
      </c>
      <c r="H9" s="11" t="str">
        <f>IF(ISBLANK(VLOOKUP($B9,بحرا!$A$2:$AG$31,7,FALSE)),"",VLOOKUP($B9,بحرا!$A$2:$AG$31,7,FALSE))</f>
        <v/>
      </c>
      <c r="I9" s="11" t="str">
        <f>IF(ISBLANK(VLOOKUP($B9,بحرا!$A$2:$AG$31,8,FALSE)),"",VLOOKUP($B9,بحرا!$A$2:$AG$31,8,FALSE))</f>
        <v/>
      </c>
      <c r="J9" s="11" t="str">
        <f>IF(ISBLANK(VLOOKUP($B9,بحرا!$A$2:$AG$31,9,FALSE)),"",VLOOKUP($B9,بحرا!$A$2:$AG$31,9,FALSE))</f>
        <v/>
      </c>
      <c r="K9" s="11" t="str">
        <f>IF(ISBLANK(VLOOKUP($B9,بحرا!$A$2:$AG$31,10,FALSE)),"",VLOOKUP($B9,بحرا!$A$2:$AG$31,10,FALSE))</f>
        <v/>
      </c>
      <c r="L9" s="11" t="str">
        <f>IF(ISBLANK(VLOOKUP($B9,بحرا!$A$2:$AG$31,11,FALSE)),"",VLOOKUP($B9,بحرا!$A$2:$AG$31,11,FALSE))</f>
        <v/>
      </c>
      <c r="M9" s="11" t="str">
        <f>IF(ISBLANK(VLOOKUP($B9,بحرا!$A$2:$AG$31,12,FALSE)),"",VLOOKUP($B9,بحرا!$A$2:$AG$31,12,FALSE))</f>
        <v/>
      </c>
      <c r="N9" s="11" t="str">
        <f>IF(ISBLANK(VLOOKUP($B9,بحرا!$A$2:$AG$31,13,FALSE)),"",VLOOKUP($B9,بحرا!$A$2:$AG$31,13,FALSE))</f>
        <v/>
      </c>
      <c r="O9" s="11" t="str">
        <f>IF(ISBLANK(VLOOKUP($B9,بحرا!$A$2:$AG$31,14,FALSE)),"",VLOOKUP($B9,بحرا!$A$2:$AG$31,14,FALSE))</f>
        <v/>
      </c>
      <c r="P9" s="11" t="str">
        <f>IF(ISBLANK(VLOOKUP($B9,بحرا!$A$2:$AG$31,15,FALSE)),"",VLOOKUP($B9,بحرا!$A$2:$AG$31,15,FALSE))</f>
        <v/>
      </c>
      <c r="Q9" s="11" t="str">
        <f>IF(ISBLANK(VLOOKUP($B9,بحرا!$A$2:$AG$31,16,FALSE)),"",VLOOKUP($B9,بحرا!$A$2:$AG$31,16,FALSE))</f>
        <v/>
      </c>
      <c r="R9" s="15"/>
      <c r="S9" s="44" t="str">
        <f>IF(ISBLANK(VLOOKUP($B9,بحرا!$A$2:$AG$31,17,FALSE)),"",VLOOKUP($B9,بحرا!$A$2:$AG$31,17,FALSE))</f>
        <v/>
      </c>
      <c r="T9" s="15"/>
      <c r="U9" s="11" t="str">
        <f>IF(ISBLANK(VLOOKUP($B9,بحرا!$A$2:$AG$31,18,FALSE)),"",VLOOKUP($B9,بحرا!$A$2:$AG$31,18,FALSE))</f>
        <v/>
      </c>
      <c r="V9" s="11" t="str">
        <f>IF(ISBLANK(VLOOKUP($B9,بحرا!$A$2:$AG$31,19,FALSE)),"",VLOOKUP($B9,بحرا!$A$2:$AG$31,19,FALSE))</f>
        <v/>
      </c>
      <c r="W9" s="11" t="str">
        <f>IF(ISBLANK(VLOOKUP($B9,بحرا!$A$2:$AG$31,20,FALSE)),"",VLOOKUP($B9,بحرا!$A$2:$AG$31,20,FALSE))</f>
        <v/>
      </c>
      <c r="X9" s="12">
        <f>IF(ISBLANK(VLOOKUP($B9,بحرا!$A$2:$AG$31,21,FALSE)),0,VLOOKUP($B9,بحرا!$A$2:$AG$31,21,FALSE))</f>
        <v>0</v>
      </c>
      <c r="Y9" s="12">
        <f>IF(ISBLANK(VLOOKUP($B9,بحرا!$A$2:$AG$31,22,FALSE)),0,VLOOKUP($B9,بحرا!$A$2:$AG$31,22,FALSE))</f>
        <v>0</v>
      </c>
      <c r="Z9" s="12">
        <f>IF(ISBLANK(VLOOKUP($B9,بحرا!$A$2:$AG$31,23,FALSE)),0,VLOOKUP($B9,بحرا!$A$2:$AG$31,23,FALSE))</f>
        <v>0</v>
      </c>
      <c r="AA9" s="12">
        <f>IF(ISBLANK(VLOOKUP($B9,بحرا!$A$2:$AG$31,24,FALSE)),0,VLOOKUP($B9,بحرا!$A$2:$AG$31,24,FALSE))</f>
        <v>0</v>
      </c>
      <c r="AB9" s="12">
        <f>IF(ISBLANK(VLOOKUP($B9,بحرا!$A$2:$AG$31,25,FALSE)),0,VLOOKUP($B9,بحرا!$A$2:$AG$31,25,FALSE))</f>
        <v>0</v>
      </c>
      <c r="AC9" s="12">
        <f>IF(ISBLANK(VLOOKUP($B9,بحرا!$A$2:$AG$31,26,FALSE)),0,VLOOKUP($B9,بحرا!$A$2:$AG$31,26,FALSE))</f>
        <v>0</v>
      </c>
      <c r="AD9" s="12">
        <f>IF(ISBLANK(VLOOKUP($B9,بحرا!$A$2:$AJ$31,27,FALSE)),0,VLOOKUP($B9,بحرا!$A$2:$AJ$31,27,FALSE))</f>
        <v>0</v>
      </c>
      <c r="AE9" s="12">
        <f>IF(ISBLANK(VLOOKUP($B9,بحرا!$A$2:$AJ$31,28,FALSE)),0,VLOOKUP($B9,بحرا!$A$2:$AJ$31,28,FALSE))</f>
        <v>0</v>
      </c>
      <c r="AF9" s="12">
        <f>IF(ISBLANK(VLOOKUP($B9,بحرا!$A$2:$AG$31,29,FALSE)),0,VLOOKUP($B9,بحرا!$A$2:$AG$31,29,FALSE))</f>
        <v>0</v>
      </c>
      <c r="AG9" s="12">
        <f>IF(ISBLANK(VLOOKUP($B9,بحرا!$A$2:$AG$31,30,FALSE)),0,VLOOKUP($B9,بحرا!$A$2:$AG$31,30,FALSE))</f>
        <v>0</v>
      </c>
      <c r="AH9" s="12">
        <f>IF(ISBLANK(VLOOKUP($B9,بحرا!$A$2:$AG$31,31,FALSE)),0,VLOOKUP($B9,بحرا!$A$2:$AG$31,31,FALSE))</f>
        <v>0</v>
      </c>
      <c r="AI9" s="12">
        <f>IF(ISBLANK(VLOOKUP($B9,بحرا!$A$2:$AG$31,32,FALSE)),0,VLOOKUP($B9,بحرا!$A$2:$AG$31,32,FALSE))</f>
        <v>0</v>
      </c>
      <c r="AJ9" s="12">
        <f>IF(ISBLANK(VLOOKUP($B9,بحرا!$A$2:$AJ$31,33,FALSE)),0,VLOOKUP($B9,بحرا!$A$2:$AJ$31,33,FALSE))</f>
        <v>0</v>
      </c>
      <c r="AK9" s="12">
        <f>IF(ISBLANK(VLOOKUP($B9,بحرا!$A$2:$AJ$31,34,FALSE)),0,VLOOKUP($B9,بحرا!$A$2:$AJ$31,34,FALSE))</f>
        <v>0</v>
      </c>
      <c r="AL9" s="12">
        <f>IF(ISBLANK(VLOOKUP($B9,بحرا!$A$2:$AJ$31,35,FALSE)),0,VLOOKUP($B9,بحرا!$A$2:$AJ$31,35,FALSE))</f>
        <v>0</v>
      </c>
      <c r="AM9" s="12">
        <f>IF(ISBLANK(VLOOKUP($B9,بحرا!$A$2:$AJ$31,36,FALSE)),0,VLOOKUP($B9,بحرا!$A$2:$AJ$31,36,FALSE))</f>
        <v>0</v>
      </c>
      <c r="AN9" s="13" t="str">
        <f>IF(X9&gt;0,X9 &amp; " "&amp; $X$6 &amp; " / ", " ") &amp; IF(Y9&gt;0,Y9 &amp; " "&amp;$Y$6 &amp; " / ", " ") &amp; IF(Z9&gt;0,Z9 &amp; " "&amp; $Z$6 &amp; " / ", " ") &amp; IF(AA9&gt;0,AA9 &amp; " "&amp; $AA$6 &amp; " / ", " ")&amp; IF(AB9&gt;0,AB9 &amp; " "&amp; $AB$6 &amp; " / ", " ") &amp; IF(AC9&gt;0,AC9 &amp; " "&amp; $AC$6 &amp; " / ", " ")  &amp; IF(AG9&gt;0,AG9 &amp; " "&amp; $AG$6 &amp; " / ", " ")  &amp; IF(AH9&gt;0,AH9 &amp; " "&amp; $AH$6 &amp; " / ", " ") &amp; IF(AI9&gt;0,AI9 &amp; " "&amp; $AI$6 &amp; " / ", " ") &amp; IF(AJ9&gt;0,AJ9 &amp; " "&amp; $AJ$6 &amp; " / ", " ")&amp; IF(AD9&gt;0,AD9 &amp; " "&amp; $AD$6 &amp; " / ", " ")&amp; IF(AE9&gt;0,AE9 &amp; " "&amp; $AE$8 &amp; " / ", " ")&amp; IF(AF9&gt;0,AF9 &amp; " "&amp; $AF$8 &amp; " / ", " ")&amp; IF(AK9&gt;0,AK9 &amp; " "&amp;$AK$6 &amp; " / ", " ") &amp; IF(AL9&gt;0,AL9 &amp; " "&amp;$AL$6 &amp; " / ", " ")&amp; IF(AM9&gt;0,AM9 &amp; " "&amp; " / ", " ")</f>
        <v/>
      </c>
    </row>
    <row r="10" spans="2:40" ht="40.5" customHeight="1" thickTop="1" thickBot="1">
      <c r="B10" s="10" t="str">
        <f>بحرا!A3</f>
        <v>مدنين</v>
      </c>
      <c r="C10" s="11" t="str">
        <f>IF(ISBLANK(VLOOKUP($B10,بحرا!$A$2:$AG$31,3,FALSE)),"",VLOOKUP($B10,بحرا!$A$2:$AG$31,3,FALSE))</f>
        <v/>
      </c>
      <c r="D10" s="11" t="str">
        <f>IF(ISBLANK(VLOOKUP($B10,بحرا!$A$2:$AG$31,2,FALSE)),"",VLOOKUP($B10,بحرا!$A$2:$AG$31,2,FALSE))</f>
        <v/>
      </c>
      <c r="E10" s="11" t="str">
        <f>IF(ISBLANK(VLOOKUP($B10,بحرا!$A$2:$AG$31,4,FALSE)),"",VLOOKUP($B10,بحرا!$A$2:$AG$31,4,FALSE))</f>
        <v/>
      </c>
      <c r="F10" s="11" t="str">
        <f>IF(ISBLANK(VLOOKUP($B10,بحرا!$A$2:$AG$31,5,FALSE)),"",VLOOKUP($B10,بحرا!$A$2:$AG$31,5,FALSE))</f>
        <v/>
      </c>
      <c r="G10" s="11" t="str">
        <f>IF(ISBLANK(VLOOKUP($B10,بحرا!$A$2:$AG$31,6,FALSE)),"",VLOOKUP($B10,بحرا!$A$2:$AG$31,6,FALSE))</f>
        <v/>
      </c>
      <c r="H10" s="11" t="str">
        <f>IF(ISBLANK(VLOOKUP($B10,بحرا!$A$2:$AG$31,7,FALSE)),"",VLOOKUP($B10,بحرا!$A$2:$AG$31,7,FALSE))</f>
        <v/>
      </c>
      <c r="I10" s="11" t="str">
        <f>IF(ISBLANK(VLOOKUP($B10,بحرا!$A$2:$AG$31,8,FALSE)),"",VLOOKUP($B10,بحرا!$A$2:$AG$31,8,FALSE))</f>
        <v/>
      </c>
      <c r="J10" s="11" t="str">
        <f>IF(ISBLANK(VLOOKUP($B10,بحرا!$A$2:$AG$31,9,FALSE)),"",VLOOKUP($B10,بحرا!$A$2:$AG$31,9,FALSE))</f>
        <v/>
      </c>
      <c r="K10" s="11" t="str">
        <f>IF(ISBLANK(VLOOKUP($B10,بحرا!$A$2:$AG$31,10,FALSE)),"",VLOOKUP($B10,بحرا!$A$2:$AG$31,10,FALSE))</f>
        <v/>
      </c>
      <c r="L10" s="11" t="str">
        <f>IF(ISBLANK(VLOOKUP($B10,بحرا!$A$2:$AG$31,11,FALSE)),"",VLOOKUP($B10,بحرا!$A$2:$AG$31,11,FALSE))</f>
        <v/>
      </c>
      <c r="M10" s="11" t="str">
        <f>IF(ISBLANK(VLOOKUP($B10,بحرا!$A$2:$AG$31,12,FALSE)),"",VLOOKUP($B10,بحرا!$A$2:$AG$31,12,FALSE))</f>
        <v/>
      </c>
      <c r="N10" s="11" t="str">
        <f>IF(ISBLANK(VLOOKUP($B10,بحرا!$A$2:$AG$31,13,FALSE)),"",VLOOKUP($B10,بحرا!$A$2:$AG$31,13,FALSE))</f>
        <v/>
      </c>
      <c r="O10" s="11" t="str">
        <f>IF(ISBLANK(VLOOKUP($B10,بحرا!$A$2:$AG$31,14,FALSE)),"",VLOOKUP($B10,بحرا!$A$2:$AG$31,14,FALSE))</f>
        <v/>
      </c>
      <c r="P10" s="11" t="str">
        <f>IF(ISBLANK(VLOOKUP($B10,بحرا!$A$2:$AG$31,15,FALSE)),"",VLOOKUP($B10,بحرا!$A$2:$AG$31,15,FALSE))</f>
        <v/>
      </c>
      <c r="Q10" s="11" t="str">
        <f>IF(ISBLANK(VLOOKUP($B10,بحرا!$A$2:$AG$31,16,FALSE)),"",VLOOKUP($B10,بحرا!$A$2:$AG$31,16,FALSE))</f>
        <v/>
      </c>
      <c r="R10" s="15"/>
      <c r="S10" s="11" t="str">
        <f>IF(ISBLANK(VLOOKUP($B10,بحرا!$A$2:$AG$31,17,FALSE)),"",VLOOKUP($B10,بحرا!$A$2:$AG$31,17,FALSE))</f>
        <v/>
      </c>
      <c r="T10" s="15"/>
      <c r="U10" s="11" t="str">
        <f>IF(ISBLANK(VLOOKUP($B10,بحرا!$A$2:$AG$31,18,FALSE)),"",VLOOKUP($B10,بحرا!$A$2:$AG$31,18,FALSE))</f>
        <v/>
      </c>
      <c r="V10" s="11" t="str">
        <f>IF(ISBLANK(VLOOKUP($B10,بحرا!$A$2:$AG$31,19,FALSE)),"",VLOOKUP($B10,بحرا!$A$2:$AG$31,19,FALSE))</f>
        <v/>
      </c>
      <c r="W10" s="11" t="str">
        <f>IF(ISBLANK(VLOOKUP($B10,بحرا!$A$2:$AG$31,20,FALSE)),"",VLOOKUP($B10,بحرا!$A$2:$AG$31,20,FALSE))</f>
        <v/>
      </c>
      <c r="X10" s="12">
        <f>IF(ISBLANK(VLOOKUP($B10,بحرا!$A$2:$AG$31,21,FALSE)),0,VLOOKUP($B10,بحرا!$A$2:$AG$31,21,FALSE))</f>
        <v>0</v>
      </c>
      <c r="Y10" s="12">
        <f>IF(ISBLANK(VLOOKUP($B10,بحرا!$A$2:$AG$31,22,FALSE)),0,VLOOKUP($B10,بحرا!$A$2:$AG$31,22,FALSE))</f>
        <v>0</v>
      </c>
      <c r="Z10" s="12">
        <f>IF(ISBLANK(VLOOKUP($B10,بحرا!$A$2:$AG$31,23,FALSE)),0,VLOOKUP($B10,بحرا!$A$2:$AG$31,23,FALSE))</f>
        <v>0</v>
      </c>
      <c r="AA10" s="12">
        <f>IF(ISBLANK(VLOOKUP($B10,بحرا!$A$2:$AG$31,24,FALSE)),0,VLOOKUP($B10,بحرا!$A$2:$AG$31,24,FALSE))</f>
        <v>0</v>
      </c>
      <c r="AB10" s="12">
        <f>IF(ISBLANK(VLOOKUP($B10,بحرا!$A$2:$AG$31,25,FALSE)),0,VLOOKUP($B10,بحرا!$A$2:$AG$31,25,FALSE))</f>
        <v>0</v>
      </c>
      <c r="AC10" s="12">
        <f>IF(ISBLANK(VLOOKUP($B10,بحرا!$A$2:$AG$31,26,FALSE)),0,VLOOKUP($B10,بحرا!$A$2:$AG$31,26,FALSE))</f>
        <v>0</v>
      </c>
      <c r="AD10" s="12">
        <f>IF(ISBLANK(VLOOKUP($B10,بحرا!$A$2:$AJ$31,27,FALSE)),0,VLOOKUP($B10,بحرا!$A$2:$AJ$31,27,FALSE))</f>
        <v>0</v>
      </c>
      <c r="AE10" s="12">
        <f>IF(ISBLANK(VLOOKUP($B10,بحرا!$A$2:$AJ$31,28,FALSE)),0,VLOOKUP($B10,بحرا!$A$2:$AJ$31,28,FALSE))</f>
        <v>0</v>
      </c>
      <c r="AF10" s="12">
        <f>IF(ISBLANK(VLOOKUP($B10,بحرا!$A$2:$AG$31,29,FALSE)),0,VLOOKUP($B10,بحرا!$A$2:$AG$31,29,FALSE))</f>
        <v>0</v>
      </c>
      <c r="AG10" s="12">
        <f>IF(ISBLANK(VLOOKUP($B10,بحرا!$A$2:$AG$31,30,FALSE)),0,VLOOKUP($B10,بحرا!$A$2:$AG$31,30,FALSE))</f>
        <v>0</v>
      </c>
      <c r="AH10" s="12">
        <f>IF(ISBLANK(VLOOKUP($B10,بحرا!$A$2:$AG$31,31,FALSE)),0,VLOOKUP($B10,بحرا!$A$2:$AG$31,31,FALSE))</f>
        <v>0</v>
      </c>
      <c r="AI10" s="12">
        <f>IF(ISBLANK(VLOOKUP($B10,بحرا!$A$2:$AG$31,32,FALSE)),0,VLOOKUP($B10,بحرا!$A$2:$AG$31,32,FALSE))</f>
        <v>0</v>
      </c>
      <c r="AJ10" s="12">
        <f>IF(ISBLANK(VLOOKUP($B10,بحرا!$A$2:$AJ$31,33,FALSE)),0,VLOOKUP($B10,بحرا!$A$2:$AJ$31,33,FALSE))</f>
        <v>0</v>
      </c>
      <c r="AK10" s="12">
        <f>IF(ISBLANK(VLOOKUP($B10,بحرا!$A$2:$AJ$31,34,FALSE)),0,VLOOKUP($B10,بحرا!$A$2:$AJ$31,34,FALSE))</f>
        <v>0</v>
      </c>
      <c r="AL10" s="12">
        <f>IF(ISBLANK(VLOOKUP($B10,بحرا!$A$2:$AJ$31,35,FALSE)),0,VLOOKUP($B10,بحرا!$A$2:$AJ$31,35,FALSE))</f>
        <v>0</v>
      </c>
      <c r="AM10" s="12">
        <f>IF(ISBLANK(VLOOKUP($B10,بحرا!$A$2:$AJ$31,36,FALSE)),0,VLOOKUP($B10,بحرا!$A$2:$AJ$31,36,FALSE))</f>
        <v>0</v>
      </c>
      <c r="AN10" s="13" t="str">
        <f t="shared" ref="AN10:AN38" si="0">IF(X10&gt;0,X10 &amp; " "&amp; $X$6 &amp; " / ", " ") &amp; IF(Y10&gt;0,Y10 &amp; " "&amp;$Y$6 &amp; " / ", " ") &amp; IF(Z10&gt;0,Z10 &amp; " "&amp; $Z$6 &amp; " / ", " ") &amp; IF(AA10&gt;0,AA10 &amp; " "&amp; $AA$6 &amp; " / ", " ")&amp; IF(AB10&gt;0,AB10 &amp; " "&amp; $AB$6 &amp; " / ", " ") &amp; IF(AC10&gt;0,AC10 &amp; " "&amp; $AC$6 &amp; " / ", " ")  &amp; IF(AG10&gt;0,AG10 &amp; " "&amp; $AG$6 &amp; " / ", " ")  &amp; IF(AH10&gt;0,AH10 &amp; " "&amp; $AH$6 &amp; " / ", " ") &amp; IF(AI10&gt;0,AI10 &amp; " "&amp; $AI$6 &amp; " / ", " ") &amp; IF(AJ10&gt;0,AJ10 &amp; " "&amp; $AJ$6 &amp; " / ", " ")&amp; IF(AD10&gt;0,AD10 &amp; " "&amp; $AD$6 &amp; " / ", " ")&amp; IF(AE10&gt;0,AE10 &amp; " "&amp; $AE$8 &amp; " / ", " ")&amp; IF(AF10&gt;0,AF10 &amp; " "&amp; $AF$8 &amp; " / ", " ")&amp; IF(AK10&gt;0,AK10 &amp; " "&amp;$AK$6 &amp; " / ", " ") &amp; IF(AL10&gt;0,AL10 &amp; " "&amp;$AL$6 &amp; " / ", " ")&amp; IF(AM10&gt;0,AM10 &amp; " "&amp; " / ", " ")</f>
        <v/>
      </c>
    </row>
    <row r="11" spans="2:40" ht="48" customHeight="1" thickTop="1" thickBot="1">
      <c r="B11" s="10" t="str">
        <f>بحرا!A4</f>
        <v>قفصة</v>
      </c>
      <c r="C11" s="11" t="str">
        <f>IF(ISBLANK(VLOOKUP($B11,بحرا!$A$2:$AG$31,3,FALSE)),"",VLOOKUP($B11,بحرا!$A$2:$AG$31,3,FALSE))</f>
        <v/>
      </c>
      <c r="D11" s="11" t="str">
        <f>IF(ISBLANK(VLOOKUP($B11,بحرا!$A$2:$AG$31,2,FALSE)),"",VLOOKUP($B11,بحرا!$A$2:$AG$31,2,FALSE))</f>
        <v/>
      </c>
      <c r="E11" s="11" t="str">
        <f>IF(ISBLANK(VLOOKUP($B11,بحرا!$A$2:$AG$31,4,FALSE)),"",VLOOKUP($B11,بحرا!$A$2:$AG$31,4,FALSE))</f>
        <v/>
      </c>
      <c r="F11" s="11" t="str">
        <f>IF(ISBLANK(VLOOKUP($B11,بحرا!$A$2:$AG$31,5,FALSE)),"",VLOOKUP($B11,بحرا!$A$2:$AG$31,5,FALSE))</f>
        <v/>
      </c>
      <c r="G11" s="11" t="str">
        <f>IF(ISBLANK(VLOOKUP($B11,بحرا!$A$2:$AG$31,6,FALSE)),"",VLOOKUP($B11,بحرا!$A$2:$AG$31,6,FALSE))</f>
        <v/>
      </c>
      <c r="H11" s="11" t="str">
        <f>IF(ISBLANK(VLOOKUP($B11,بحرا!$A$2:$AG$31,7,FALSE)),"",VLOOKUP($B11,بحرا!$A$2:$AG$31,7,FALSE))</f>
        <v/>
      </c>
      <c r="I11" s="11" t="str">
        <f>IF(ISBLANK(VLOOKUP($B11,بحرا!$A$2:$AG$31,8,FALSE)),"",VLOOKUP($B11,بحرا!$A$2:$AG$31,8,FALSE))</f>
        <v/>
      </c>
      <c r="J11" s="11" t="str">
        <f>IF(ISBLANK(VLOOKUP($B11,بحرا!$A$2:$AG$31,9,FALSE)),"",VLOOKUP($B11,بحرا!$A$2:$AG$31,9,FALSE))</f>
        <v/>
      </c>
      <c r="K11" s="11" t="str">
        <f>IF(ISBLANK(VLOOKUP($B11,بحرا!$A$2:$AG$31,10,FALSE)),"",VLOOKUP($B11,بحرا!$A$2:$AG$31,10,FALSE))</f>
        <v/>
      </c>
      <c r="L11" s="11" t="str">
        <f>IF(ISBLANK(VLOOKUP($B11,بحرا!$A$2:$AG$31,11,FALSE)),"",VLOOKUP($B11,بحرا!$A$2:$AG$31,11,FALSE))</f>
        <v/>
      </c>
      <c r="M11" s="11" t="str">
        <f>IF(ISBLANK(VLOOKUP($B11,بحرا!$A$2:$AG$31,12,FALSE)),"",VLOOKUP($B11,بحرا!$A$2:$AG$31,12,FALSE))</f>
        <v/>
      </c>
      <c r="N11" s="11" t="str">
        <f>IF(ISBLANK(VLOOKUP($B11,بحرا!$A$2:$AG$31,13,FALSE)),"",VLOOKUP($B11,بحرا!$A$2:$AG$31,13,FALSE))</f>
        <v/>
      </c>
      <c r="O11" s="11" t="str">
        <f>IF(ISBLANK(VLOOKUP($B11,بحرا!$A$2:$AG$31,14,FALSE)),"",VLOOKUP($B11,بحرا!$A$2:$AG$31,14,FALSE))</f>
        <v/>
      </c>
      <c r="P11" s="11" t="str">
        <f>IF(ISBLANK(VLOOKUP($B11,بحرا!$A$2:$AG$31,15,FALSE)),"",VLOOKUP($B11,بحرا!$A$2:$AG$31,15,FALSE))</f>
        <v/>
      </c>
      <c r="Q11" s="11" t="str">
        <f>IF(ISBLANK(VLOOKUP($B11,بحرا!$A$2:$AG$31,16,FALSE)),"",VLOOKUP($B11,بحرا!$A$2:$AG$31,16,FALSE))</f>
        <v/>
      </c>
      <c r="R11" s="15"/>
      <c r="S11" s="11" t="str">
        <f>IF(ISBLANK(VLOOKUP($B11,بحرا!$A$2:$AG$31,17,FALSE)),"",VLOOKUP($B11,بحرا!$A$2:$AG$31,17,FALSE))</f>
        <v/>
      </c>
      <c r="T11" s="15"/>
      <c r="U11" s="11" t="str">
        <f>IF(ISBLANK(VLOOKUP($B11,بحرا!$A$2:$AG$31,18,FALSE)),"",VLOOKUP($B11,بحرا!$A$2:$AG$31,18,FALSE))</f>
        <v/>
      </c>
      <c r="V11" s="11" t="str">
        <f>IF(ISBLANK(VLOOKUP($B11,بحرا!$A$2:$AG$31,19,FALSE)),"",VLOOKUP($B11,بحرا!$A$2:$AG$31,19,FALSE))</f>
        <v/>
      </c>
      <c r="W11" s="11" t="str">
        <f>IF(ISBLANK(VLOOKUP($B11,بحرا!$A$2:$AG$31,20,FALSE)),"",VLOOKUP($B11,بحرا!$A$2:$AG$31,20,FALSE))</f>
        <v/>
      </c>
      <c r="X11" s="12">
        <f>IF(ISBLANK(VLOOKUP($B11,بحرا!$A$2:$AG$31,21,FALSE)),0,VLOOKUP($B11,بحرا!$A$2:$AG$31,21,FALSE))</f>
        <v>0</v>
      </c>
      <c r="Y11" s="12">
        <f>IF(ISBLANK(VLOOKUP($B11,بحرا!$A$2:$AG$31,22,FALSE)),0,VLOOKUP($B11,بحرا!$A$2:$AG$31,22,FALSE))</f>
        <v>0</v>
      </c>
      <c r="Z11" s="12">
        <f>IF(ISBLANK(VLOOKUP($B11,بحرا!$A$2:$AG$31,23,FALSE)),0,VLOOKUP($B11,بحرا!$A$2:$AG$31,23,FALSE))</f>
        <v>0</v>
      </c>
      <c r="AA11" s="12">
        <f>IF(ISBLANK(VLOOKUP($B11,بحرا!$A$2:$AG$31,24,FALSE)),0,VLOOKUP($B11,بحرا!$A$2:$AG$31,24,FALSE))</f>
        <v>0</v>
      </c>
      <c r="AB11" s="12">
        <f>IF(ISBLANK(VLOOKUP($B11,بحرا!$A$2:$AG$31,25,FALSE)),0,VLOOKUP($B11,بحرا!$A$2:$AG$31,25,FALSE))</f>
        <v>0</v>
      </c>
      <c r="AC11" s="12">
        <f>IF(ISBLANK(VLOOKUP($B11,بحرا!$A$2:$AG$31,26,FALSE)),0,VLOOKUP($B11,بحرا!$A$2:$AG$31,26,FALSE))</f>
        <v>0</v>
      </c>
      <c r="AD11" s="12">
        <f>IF(ISBLANK(VLOOKUP($B11,بحرا!$A$2:$AJ$31,27,FALSE)),0,VLOOKUP($B11,بحرا!$A$2:$AJ$31,27,FALSE))</f>
        <v>0</v>
      </c>
      <c r="AE11" s="12">
        <f>IF(ISBLANK(VLOOKUP($B11,بحرا!$A$2:$AJ$31,28,FALSE)),0,VLOOKUP($B11,بحرا!$A$2:$AJ$31,28,FALSE))</f>
        <v>0</v>
      </c>
      <c r="AF11" s="12">
        <f>IF(ISBLANK(VLOOKUP($B11,بحرا!$A$2:$AG$31,29,FALSE)),0,VLOOKUP($B11,بحرا!$A$2:$AG$31,29,FALSE))</f>
        <v>0</v>
      </c>
      <c r="AG11" s="12">
        <f>IF(ISBLANK(VLOOKUP($B11,بحرا!$A$2:$AG$31,30,FALSE)),0,VLOOKUP($B11,بحرا!$A$2:$AG$31,30,FALSE))</f>
        <v>0</v>
      </c>
      <c r="AH11" s="12">
        <f>IF(ISBLANK(VLOOKUP($B11,بحرا!$A$2:$AG$31,31,FALSE)),0,VLOOKUP($B11,بحرا!$A$2:$AG$31,31,FALSE))</f>
        <v>0</v>
      </c>
      <c r="AI11" s="12">
        <f>IF(ISBLANK(VLOOKUP($B11,بحرا!$A$2:$AG$31,32,FALSE)),0,VLOOKUP($B11,بحرا!$A$2:$AG$31,32,FALSE))</f>
        <v>0</v>
      </c>
      <c r="AJ11" s="12">
        <f>IF(ISBLANK(VLOOKUP($B11,بحرا!$A$2:$AJ$31,33,FALSE)),0,VLOOKUP($B11,بحرا!$A$2:$AJ$31,33,FALSE))</f>
        <v>0</v>
      </c>
      <c r="AK11" s="12">
        <f>IF(ISBLANK(VLOOKUP($B11,بحرا!$A$2:$AJ$31,34,FALSE)),0,VLOOKUP($B11,بحرا!$A$2:$AJ$31,34,FALSE))</f>
        <v>0</v>
      </c>
      <c r="AL11" s="12">
        <f>IF(ISBLANK(VLOOKUP($B11,بحرا!$A$2:$AJ$31,35,FALSE)),0,VLOOKUP($B11,بحرا!$A$2:$AJ$31,35,FALSE))</f>
        <v>0</v>
      </c>
      <c r="AM11" s="12">
        <f>IF(ISBLANK(VLOOKUP($B11,بحرا!$A$2:$AJ$31,36,FALSE)),0,VLOOKUP($B11,بحرا!$A$2:$AJ$31,36,FALSE))</f>
        <v>0</v>
      </c>
      <c r="AN11" s="13" t="str">
        <f t="shared" si="0"/>
        <v/>
      </c>
    </row>
    <row r="12" spans="2:40" ht="48" customHeight="1" thickTop="1" thickBot="1">
      <c r="B12" s="10" t="str">
        <f>بحرا!A5</f>
        <v>قبلي</v>
      </c>
      <c r="C12" s="11" t="str">
        <f>IF(ISBLANK(VLOOKUP($B12,بحرا!$A$2:$AG$31,3,FALSE)),"",VLOOKUP($B12,بحرا!$A$2:$AG$31,3,FALSE))</f>
        <v/>
      </c>
      <c r="D12" s="11" t="str">
        <f>IF(ISBLANK(VLOOKUP($B12,بحرا!$A$2:$AG$31,2,FALSE)),"",VLOOKUP($B12,بحرا!$A$2:$AG$31,2,FALSE))</f>
        <v/>
      </c>
      <c r="E12" s="11" t="str">
        <f>IF(ISBLANK(VLOOKUP($B12,بحرا!$A$2:$AG$31,4,FALSE)),"",VLOOKUP($B12,بحرا!$A$2:$AG$31,4,FALSE))</f>
        <v/>
      </c>
      <c r="F12" s="11" t="str">
        <f>IF(ISBLANK(VLOOKUP($B12,بحرا!$A$2:$AG$31,5,FALSE)),"",VLOOKUP($B12,بحرا!$A$2:$AG$31,5,FALSE))</f>
        <v/>
      </c>
      <c r="G12" s="11" t="str">
        <f>IF(ISBLANK(VLOOKUP($B12,بحرا!$A$2:$AG$31,6,FALSE)),"",VLOOKUP($B12,بحرا!$A$2:$AG$31,6,FALSE))</f>
        <v/>
      </c>
      <c r="H12" s="11" t="str">
        <f>IF(ISBLANK(VLOOKUP($B12,بحرا!$A$2:$AG$31,7,FALSE)),"",VLOOKUP($B12,بحرا!$A$2:$AG$31,7,FALSE))</f>
        <v/>
      </c>
      <c r="I12" s="11" t="str">
        <f>IF(ISBLANK(VLOOKUP($B12,بحرا!$A$2:$AG$31,8,FALSE)),"",VLOOKUP($B12,بحرا!$A$2:$AG$31,8,FALSE))</f>
        <v/>
      </c>
      <c r="J12" s="11" t="str">
        <f>IF(ISBLANK(VLOOKUP($B12,بحرا!$A$2:$AG$31,9,FALSE)),"",VLOOKUP($B12,بحرا!$A$2:$AG$31,9,FALSE))</f>
        <v/>
      </c>
      <c r="K12" s="11" t="str">
        <f>IF(ISBLANK(VLOOKUP($B12,بحرا!$A$2:$AG$31,10,FALSE)),"",VLOOKUP($B12,بحرا!$A$2:$AG$31,10,FALSE))</f>
        <v/>
      </c>
      <c r="L12" s="11" t="str">
        <f>IF(ISBLANK(VLOOKUP($B12,بحرا!$A$2:$AG$31,11,FALSE)),"",VLOOKUP($B12,بحرا!$A$2:$AG$31,11,FALSE))</f>
        <v/>
      </c>
      <c r="M12" s="11" t="str">
        <f>IF(ISBLANK(VLOOKUP($B12,بحرا!$A$2:$AG$31,12,FALSE)),"",VLOOKUP($B12,بحرا!$A$2:$AG$31,12,FALSE))</f>
        <v/>
      </c>
      <c r="N12" s="11" t="str">
        <f>IF(ISBLANK(VLOOKUP($B12,بحرا!$A$2:$AG$31,13,FALSE)),"",VLOOKUP($B12,بحرا!$A$2:$AG$31,13,FALSE))</f>
        <v/>
      </c>
      <c r="O12" s="11" t="str">
        <f>IF(ISBLANK(VLOOKUP($B12,بحرا!$A$2:$AG$31,14,FALSE)),"",VLOOKUP($B12,بحرا!$A$2:$AG$31,14,FALSE))</f>
        <v/>
      </c>
      <c r="P12" s="11" t="str">
        <f>IF(ISBLANK(VLOOKUP($B12,بحرا!$A$2:$AG$31,15,FALSE)),"",VLOOKUP($B12,بحرا!$A$2:$AG$31,15,FALSE))</f>
        <v/>
      </c>
      <c r="Q12" s="11" t="str">
        <f>IF(ISBLANK(VLOOKUP($B12,بحرا!$A$2:$AG$31,16,FALSE)),"",VLOOKUP($B12,بحرا!$A$2:$AG$31,16,FALSE))</f>
        <v/>
      </c>
      <c r="R12" s="15"/>
      <c r="S12" s="11" t="str">
        <f>IF(ISBLANK(VLOOKUP($B12,بحرا!$A$2:$AG$31,17,FALSE)),"",VLOOKUP($B12,بحرا!$A$2:$AG$31,17,FALSE))</f>
        <v/>
      </c>
      <c r="T12" s="15"/>
      <c r="U12" s="11" t="str">
        <f>IF(ISBLANK(VLOOKUP($B12,بحرا!$A$2:$AG$31,18,FALSE)),"",VLOOKUP($B12,بحرا!$A$2:$AG$31,18,FALSE))</f>
        <v/>
      </c>
      <c r="V12" s="11" t="str">
        <f>IF(ISBLANK(VLOOKUP($B12,بحرا!$A$2:$AG$31,19,FALSE)),"",VLOOKUP($B12,بحرا!$A$2:$AG$31,19,FALSE))</f>
        <v/>
      </c>
      <c r="W12" s="11" t="str">
        <f>IF(ISBLANK(VLOOKUP($B12,بحرا!$A$2:$AG$31,20,FALSE)),"",VLOOKUP($B12,بحرا!$A$2:$AG$31,20,FALSE))</f>
        <v/>
      </c>
      <c r="X12" s="12">
        <f>IF(ISBLANK(VLOOKUP($B12,بحرا!$A$2:$AG$31,21,FALSE)),0,VLOOKUP($B12,بحرا!$A$2:$AG$31,21,FALSE))</f>
        <v>0</v>
      </c>
      <c r="Y12" s="12">
        <f>IF(ISBLANK(VLOOKUP($B12,بحرا!$A$2:$AG$31,22,FALSE)),0,VLOOKUP($B12,بحرا!$A$2:$AG$31,22,FALSE))</f>
        <v>0</v>
      </c>
      <c r="Z12" s="12">
        <f>IF(ISBLANK(VLOOKUP($B12,بحرا!$A$2:$AG$31,23,FALSE)),0,VLOOKUP($B12,بحرا!$A$2:$AG$31,23,FALSE))</f>
        <v>0</v>
      </c>
      <c r="AA12" s="12">
        <f>IF(ISBLANK(VLOOKUP($B12,بحرا!$A$2:$AG$31,24,FALSE)),0,VLOOKUP($B12,بحرا!$A$2:$AG$31,24,FALSE))</f>
        <v>0</v>
      </c>
      <c r="AB12" s="12">
        <f>IF(ISBLANK(VLOOKUP($B12,بحرا!$A$2:$AG$31,25,FALSE)),0,VLOOKUP($B12,بحرا!$A$2:$AG$31,25,FALSE))</f>
        <v>0</v>
      </c>
      <c r="AC12" s="12">
        <f>IF(ISBLANK(VLOOKUP($B12,بحرا!$A$2:$AG$31,26,FALSE)),0,VLOOKUP($B12,بحرا!$A$2:$AG$31,26,FALSE))</f>
        <v>0</v>
      </c>
      <c r="AD12" s="12">
        <f>IF(ISBLANK(VLOOKUP($B12,بحرا!$A$2:$AJ$31,27,FALSE)),0,VLOOKUP($B12,بحرا!$A$2:$AJ$31,27,FALSE))</f>
        <v>0</v>
      </c>
      <c r="AE12" s="12">
        <f>IF(ISBLANK(VLOOKUP($B12,بحرا!$A$2:$AJ$31,28,FALSE)),0,VLOOKUP($B12,بحرا!$A$2:$AJ$31,28,FALSE))</f>
        <v>0</v>
      </c>
      <c r="AF12" s="12">
        <f>IF(ISBLANK(VLOOKUP($B12,بحرا!$A$2:$AG$31,29,FALSE)),0,VLOOKUP($B12,بحرا!$A$2:$AG$31,29,FALSE))</f>
        <v>0</v>
      </c>
      <c r="AG12" s="12">
        <f>IF(ISBLANK(VLOOKUP($B12,بحرا!$A$2:$AG$31,30,FALSE)),0,VLOOKUP($B12,بحرا!$A$2:$AG$31,30,FALSE))</f>
        <v>0</v>
      </c>
      <c r="AH12" s="12">
        <f>IF(ISBLANK(VLOOKUP($B12,بحرا!$A$2:$AG$31,31,FALSE)),0,VLOOKUP($B12,بحرا!$A$2:$AG$31,31,FALSE))</f>
        <v>0</v>
      </c>
      <c r="AI12" s="12">
        <f>IF(ISBLANK(VLOOKUP($B12,بحرا!$A$2:$AG$31,32,FALSE)),0,VLOOKUP($B12,بحرا!$A$2:$AG$31,32,FALSE))</f>
        <v>0</v>
      </c>
      <c r="AJ12" s="12">
        <f>IF(ISBLANK(VLOOKUP($B12,بحرا!$A$2:$AJ$31,33,FALSE)),0,VLOOKUP($B12,بحرا!$A$2:$AJ$31,33,FALSE))</f>
        <v>0</v>
      </c>
      <c r="AK12" s="12">
        <f>IF(ISBLANK(VLOOKUP($B12,بحرا!$A$2:$AJ$31,34,FALSE)),0,VLOOKUP($B12,بحرا!$A$2:$AJ$31,34,FALSE))</f>
        <v>0</v>
      </c>
      <c r="AL12" s="12">
        <f>IF(ISBLANK(VLOOKUP($B12,بحرا!$A$2:$AJ$31,35,FALSE)),0,VLOOKUP($B12,بحرا!$A$2:$AJ$31,35,FALSE))</f>
        <v>0</v>
      </c>
      <c r="AM12" s="12">
        <f>IF(ISBLANK(VLOOKUP($B12,بحرا!$A$2:$AJ$31,36,FALSE)),0,VLOOKUP($B12,بحرا!$A$2:$AJ$31,36,FALSE))</f>
        <v>0</v>
      </c>
      <c r="AN12" s="13" t="str">
        <f t="shared" si="0"/>
        <v/>
      </c>
    </row>
    <row r="13" spans="2:40" ht="48" customHeight="1" thickTop="1" thickBot="1">
      <c r="B13" s="10" t="str">
        <f>بحرا!A6</f>
        <v>قابس</v>
      </c>
      <c r="C13" s="11" t="str">
        <f>IF(ISBLANK(VLOOKUP($B13,بحرا!$A$2:$AG$31,3,FALSE)),"",VLOOKUP($B13,بحرا!$A$2:$AG$31,3,FALSE))</f>
        <v/>
      </c>
      <c r="D13" s="11" t="str">
        <f>IF(ISBLANK(VLOOKUP($B13,بحرا!$A$2:$AG$31,2,FALSE)),"",VLOOKUP($B13,بحرا!$A$2:$AG$31,2,FALSE))</f>
        <v/>
      </c>
      <c r="E13" s="11" t="str">
        <f>IF(ISBLANK(VLOOKUP($B13,بحرا!$A$2:$AG$31,4,FALSE)),"",VLOOKUP($B13,بحرا!$A$2:$AG$31,4,FALSE))</f>
        <v/>
      </c>
      <c r="F13" s="11" t="str">
        <f>IF(ISBLANK(VLOOKUP($B13,بحرا!$A$2:$AG$31,5,FALSE)),"",VLOOKUP($B13,بحرا!$A$2:$AG$31,5,FALSE))</f>
        <v/>
      </c>
      <c r="G13" s="11" t="str">
        <f>IF(ISBLANK(VLOOKUP($B13,بحرا!$A$2:$AG$31,6,FALSE)),"",VLOOKUP($B13,بحرا!$A$2:$AG$31,6,FALSE))</f>
        <v/>
      </c>
      <c r="H13" s="11" t="str">
        <f>IF(ISBLANK(VLOOKUP($B13,بحرا!$A$2:$AG$31,7,FALSE)),"",VLOOKUP($B13,بحرا!$A$2:$AG$31,7,FALSE))</f>
        <v/>
      </c>
      <c r="I13" s="11" t="str">
        <f>IF(ISBLANK(VLOOKUP($B13,بحرا!$A$2:$AG$31,8,FALSE)),"",VLOOKUP($B13,بحرا!$A$2:$AG$31,8,FALSE))</f>
        <v/>
      </c>
      <c r="J13" s="11" t="str">
        <f>IF(ISBLANK(VLOOKUP($B13,بحرا!$A$2:$AG$31,9,FALSE)),"",VLOOKUP($B13,بحرا!$A$2:$AG$31,9,FALSE))</f>
        <v/>
      </c>
      <c r="K13" s="11" t="str">
        <f>IF(ISBLANK(VLOOKUP($B13,بحرا!$A$2:$AG$31,10,FALSE)),"",VLOOKUP($B13,بحرا!$A$2:$AG$31,10,FALSE))</f>
        <v/>
      </c>
      <c r="L13" s="11" t="str">
        <f>IF(ISBLANK(VLOOKUP($B13,بحرا!$A$2:$AG$31,11,FALSE)),"",VLOOKUP($B13,بحرا!$A$2:$AG$31,11,FALSE))</f>
        <v/>
      </c>
      <c r="M13" s="11" t="str">
        <f>IF(ISBLANK(VLOOKUP($B13,بحرا!$A$2:$AG$31,12,FALSE)),"",VLOOKUP($B13,بحرا!$A$2:$AG$31,12,FALSE))</f>
        <v/>
      </c>
      <c r="N13" s="11" t="str">
        <f>IF(ISBLANK(VLOOKUP($B13,بحرا!$A$2:$AG$31,13,FALSE)),"",VLOOKUP($B13,بحرا!$A$2:$AG$31,13,FALSE))</f>
        <v/>
      </c>
      <c r="O13" s="11" t="str">
        <f>IF(ISBLANK(VLOOKUP($B13,بحرا!$A$2:$AG$31,14,FALSE)),"",VLOOKUP($B13,بحرا!$A$2:$AG$31,14,FALSE))</f>
        <v/>
      </c>
      <c r="P13" s="11" t="str">
        <f>IF(ISBLANK(VLOOKUP($B13,بحرا!$A$2:$AG$31,15,FALSE)),"",VLOOKUP($B13,بحرا!$A$2:$AG$31,15,FALSE))</f>
        <v/>
      </c>
      <c r="Q13" s="11" t="str">
        <f>IF(ISBLANK(VLOOKUP($B13,بحرا!$A$2:$AG$31,16,FALSE)),"",VLOOKUP($B13,بحرا!$A$2:$AG$31,16,FALSE))</f>
        <v/>
      </c>
      <c r="R13" s="15"/>
      <c r="S13" s="11" t="str">
        <f>IF(ISBLANK(VLOOKUP($B13,بحرا!$A$2:$AG$31,17,FALSE)),"",VLOOKUP($B13,بحرا!$A$2:$AG$31,17,FALSE))</f>
        <v/>
      </c>
      <c r="T13" s="15"/>
      <c r="U13" s="11" t="str">
        <f>IF(ISBLANK(VLOOKUP($B13,بحرا!$A$2:$AG$31,18,FALSE)),"",VLOOKUP($B13,بحرا!$A$2:$AG$31,18,FALSE))</f>
        <v/>
      </c>
      <c r="V13" s="11" t="str">
        <f>IF(ISBLANK(VLOOKUP($B13,بحرا!$A$2:$AG$31,19,FALSE)),"",VLOOKUP($B13,بحرا!$A$2:$AG$31,19,FALSE))</f>
        <v/>
      </c>
      <c r="W13" s="11" t="str">
        <f>IF(ISBLANK(VLOOKUP($B13,بحرا!$A$2:$AG$31,20,FALSE)),"",VLOOKUP($B13,بحرا!$A$2:$AG$31,20,FALSE))</f>
        <v/>
      </c>
      <c r="X13" s="12">
        <f>IF(ISBLANK(VLOOKUP($B13,بحرا!$A$2:$AG$31,21,FALSE)),0,VLOOKUP($B13,بحرا!$A$2:$AG$31,21,FALSE))</f>
        <v>0</v>
      </c>
      <c r="Y13" s="12">
        <f>IF(ISBLANK(VLOOKUP($B13,بحرا!$A$2:$AG$31,22,FALSE)),0,VLOOKUP($B13,بحرا!$A$2:$AG$31,22,FALSE))</f>
        <v>0</v>
      </c>
      <c r="Z13" s="12">
        <f>IF(ISBLANK(VLOOKUP($B13,بحرا!$A$2:$AG$31,23,FALSE)),0,VLOOKUP($B13,بحرا!$A$2:$AG$31,23,FALSE))</f>
        <v>0</v>
      </c>
      <c r="AA13" s="12">
        <f>IF(ISBLANK(VLOOKUP($B13,بحرا!$A$2:$AG$31,24,FALSE)),0,VLOOKUP($B13,بحرا!$A$2:$AG$31,24,FALSE))</f>
        <v>0</v>
      </c>
      <c r="AB13" s="12">
        <f>IF(ISBLANK(VLOOKUP($B13,بحرا!$A$2:$AG$31,25,FALSE)),0,VLOOKUP($B13,بحرا!$A$2:$AG$31,25,FALSE))</f>
        <v>0</v>
      </c>
      <c r="AC13" s="12">
        <f>IF(ISBLANK(VLOOKUP($B13,بحرا!$A$2:$AG$31,26,FALSE)),0,VLOOKUP($B13,بحرا!$A$2:$AG$31,26,FALSE))</f>
        <v>0</v>
      </c>
      <c r="AD13" s="12">
        <f>IF(ISBLANK(VLOOKUP($B13,بحرا!$A$2:$AJ$31,27,FALSE)),0,VLOOKUP($B13,بحرا!$A$2:$AJ$31,27,FALSE))</f>
        <v>0</v>
      </c>
      <c r="AE13" s="12">
        <f>IF(ISBLANK(VLOOKUP($B13,بحرا!$A$2:$AJ$31,28,FALSE)),0,VLOOKUP($B13,بحرا!$A$2:$AJ$31,28,FALSE))</f>
        <v>0</v>
      </c>
      <c r="AF13" s="12">
        <f>IF(ISBLANK(VLOOKUP($B13,بحرا!$A$2:$AG$31,29,FALSE)),0,VLOOKUP($B13,بحرا!$A$2:$AG$31,29,FALSE))</f>
        <v>0</v>
      </c>
      <c r="AG13" s="12">
        <f>IF(ISBLANK(VLOOKUP($B13,بحرا!$A$2:$AG$31,30,FALSE)),0,VLOOKUP($B13,بحرا!$A$2:$AG$31,30,FALSE))</f>
        <v>0</v>
      </c>
      <c r="AH13" s="12">
        <f>IF(ISBLANK(VLOOKUP($B13,بحرا!$A$2:$AG$31,31,FALSE)),0,VLOOKUP($B13,بحرا!$A$2:$AG$31,31,FALSE))</f>
        <v>0</v>
      </c>
      <c r="AI13" s="12">
        <f>IF(ISBLANK(VLOOKUP($B13,بحرا!$A$2:$AG$31,32,FALSE)),0,VLOOKUP($B13,بحرا!$A$2:$AG$31,32,FALSE))</f>
        <v>0</v>
      </c>
      <c r="AJ13" s="12">
        <f>IF(ISBLANK(VLOOKUP($B13,بحرا!$A$2:$AJ$31,33,FALSE)),0,VLOOKUP($B13,بحرا!$A$2:$AJ$31,33,FALSE))</f>
        <v>0</v>
      </c>
      <c r="AK13" s="12">
        <f>IF(ISBLANK(VLOOKUP($B13,بحرا!$A$2:$AJ$31,34,FALSE)),0,VLOOKUP($B13,بحرا!$A$2:$AJ$31,34,FALSE))</f>
        <v>0</v>
      </c>
      <c r="AL13" s="12">
        <f>IF(ISBLANK(VLOOKUP($B13,بحرا!$A$2:$AJ$31,35,FALSE)),0,VLOOKUP($B13,بحرا!$A$2:$AJ$31,35,FALSE))</f>
        <v>0</v>
      </c>
      <c r="AM13" s="12">
        <f>IF(ISBLANK(VLOOKUP($B13,بحرا!$A$2:$AJ$31,36,FALSE)),0,VLOOKUP($B13,بحرا!$A$2:$AJ$31,36,FALSE))</f>
        <v>0</v>
      </c>
      <c r="AN13" s="13" t="str">
        <f t="shared" si="0"/>
        <v/>
      </c>
    </row>
    <row r="14" spans="2:40" ht="35.25" thickTop="1" thickBot="1">
      <c r="B14" s="10" t="str">
        <f>بحرا!A7</f>
        <v>صفاقس</v>
      </c>
      <c r="C14" s="11" t="str">
        <f>IF(ISBLANK(VLOOKUP($B14,بحرا!$A$2:$AG$31,3,FALSE)),"",VLOOKUP($B14,بحرا!$A$2:$AG$31,3,FALSE))</f>
        <v/>
      </c>
      <c r="D14" s="11" t="str">
        <f>IF(ISBLANK(VLOOKUP($B14,بحرا!$A$2:$AG$31,2,FALSE)),"",VLOOKUP($B14,بحرا!$A$2:$AG$31,2,FALSE))</f>
        <v/>
      </c>
      <c r="E14" s="11" t="str">
        <f>IF(ISBLANK(VLOOKUP($B14,بحرا!$A$2:$AG$31,4,FALSE)),"",VLOOKUP($B14,بحرا!$A$2:$AG$31,4,FALSE))</f>
        <v/>
      </c>
      <c r="F14" s="11" t="str">
        <f>IF(ISBLANK(VLOOKUP($B14,بحرا!$A$2:$AG$31,5,FALSE)),"",VLOOKUP($B14,بحرا!$A$2:$AG$31,5,FALSE))</f>
        <v/>
      </c>
      <c r="G14" s="11" t="str">
        <f>IF(ISBLANK(VLOOKUP($B14,بحرا!$A$2:$AG$31,6,FALSE)),"",VLOOKUP($B14,بحرا!$A$2:$AG$31,6,FALSE))</f>
        <v/>
      </c>
      <c r="H14" s="11" t="str">
        <f>IF(ISBLANK(VLOOKUP($B14,بحرا!$A$2:$AG$31,7,FALSE)),"",VLOOKUP($B14,بحرا!$A$2:$AG$31,7,FALSE))</f>
        <v/>
      </c>
      <c r="I14" s="11" t="str">
        <f>IF(ISBLANK(VLOOKUP($B14,بحرا!$A$2:$AG$31,8,FALSE)),"",VLOOKUP($B14,بحرا!$A$2:$AG$31,8,FALSE))</f>
        <v/>
      </c>
      <c r="J14" s="11" t="str">
        <f>IF(ISBLANK(VLOOKUP($B14,بحرا!$A$2:$AG$31,9,FALSE)),"",VLOOKUP($B14,بحرا!$A$2:$AG$31,9,FALSE))</f>
        <v/>
      </c>
      <c r="K14" s="11" t="str">
        <f>IF(ISBLANK(VLOOKUP($B14,بحرا!$A$2:$AG$31,10,FALSE)),"",VLOOKUP($B14,بحرا!$A$2:$AG$31,10,FALSE))</f>
        <v/>
      </c>
      <c r="L14" s="11" t="str">
        <f>IF(ISBLANK(VLOOKUP($B14,بحرا!$A$2:$AG$31,11,FALSE)),"",VLOOKUP($B14,بحرا!$A$2:$AG$31,11,FALSE))</f>
        <v/>
      </c>
      <c r="M14" s="11" t="str">
        <f>IF(ISBLANK(VLOOKUP($B14,بحرا!$A$2:$AG$31,12,FALSE)),"",VLOOKUP($B14,بحرا!$A$2:$AG$31,12,FALSE))</f>
        <v/>
      </c>
      <c r="N14" s="11" t="str">
        <f>IF(ISBLANK(VLOOKUP($B14,بحرا!$A$2:$AG$31,13,FALSE)),"",VLOOKUP($B14,بحرا!$A$2:$AG$31,13,FALSE))</f>
        <v/>
      </c>
      <c r="O14" s="11" t="str">
        <f>IF(ISBLANK(VLOOKUP($B14,بحرا!$A$2:$AG$31,14,FALSE)),"",VLOOKUP($B14,بحرا!$A$2:$AG$31,14,FALSE))</f>
        <v/>
      </c>
      <c r="P14" s="11" t="str">
        <f>IF(ISBLANK(VLOOKUP($B14,بحرا!$A$2:$AG$31,15,FALSE)),"",VLOOKUP($B14,بحرا!$A$2:$AG$31,15,FALSE))</f>
        <v/>
      </c>
      <c r="Q14" s="11" t="str">
        <f>IF(ISBLANK(VLOOKUP($B14,بحرا!$A$2:$AG$31,16,FALSE)),"",VLOOKUP($B14,بحرا!$A$2:$AG$31,16,FALSE))</f>
        <v/>
      </c>
      <c r="R14" s="15"/>
      <c r="S14" s="11" t="str">
        <f>IF(ISBLANK(VLOOKUP($B14,بحرا!$A$2:$AG$31,17,FALSE)),"",VLOOKUP($B14,بحرا!$A$2:$AG$31,17,FALSE))</f>
        <v/>
      </c>
      <c r="T14" s="15"/>
      <c r="U14" s="11" t="str">
        <f>IF(ISBLANK(VLOOKUP($B14,بحرا!$A$2:$AG$31,18,FALSE)),"",VLOOKUP($B14,بحرا!$A$2:$AG$31,18,FALSE))</f>
        <v/>
      </c>
      <c r="V14" s="11" t="str">
        <f>IF(ISBLANK(VLOOKUP($B14,بحرا!$A$2:$AG$31,19,FALSE)),"",VLOOKUP($B14,بحرا!$A$2:$AG$31,19,FALSE))</f>
        <v/>
      </c>
      <c r="W14" s="11" t="str">
        <f>IF(ISBLANK(VLOOKUP($B14,بحرا!$A$2:$AG$31,20,FALSE)),"",VLOOKUP($B14,بحرا!$A$2:$AG$31,20,FALSE))</f>
        <v/>
      </c>
      <c r="X14" s="12">
        <f>IF(ISBLANK(VLOOKUP($B14,بحرا!$A$2:$AG$31,21,FALSE)),0,VLOOKUP($B14,بحرا!$A$2:$AG$31,21,FALSE))</f>
        <v>0</v>
      </c>
      <c r="Y14" s="12">
        <f>IF(ISBLANK(VLOOKUP($B14,بحرا!$A$2:$AG$31,22,FALSE)),0,VLOOKUP($B14,بحرا!$A$2:$AG$31,22,FALSE))</f>
        <v>0</v>
      </c>
      <c r="Z14" s="12">
        <f>IF(ISBLANK(VLOOKUP($B14,بحرا!$A$2:$AG$31,23,FALSE)),0,VLOOKUP($B14,بحرا!$A$2:$AG$31,23,FALSE))</f>
        <v>0</v>
      </c>
      <c r="AA14" s="12">
        <f>IF(ISBLANK(VLOOKUP($B14,بحرا!$A$2:$AG$31,24,FALSE)),0,VLOOKUP($B14,بحرا!$A$2:$AG$31,24,FALSE))</f>
        <v>0</v>
      </c>
      <c r="AB14" s="12">
        <f>IF(ISBLANK(VLOOKUP($B14,بحرا!$A$2:$AG$31,25,FALSE)),0,VLOOKUP($B14,بحرا!$A$2:$AG$31,25,FALSE))</f>
        <v>0</v>
      </c>
      <c r="AC14" s="12">
        <f>IF(ISBLANK(VLOOKUP($B14,بحرا!$A$2:$AG$31,26,FALSE)),0,VLOOKUP($B14,بحرا!$A$2:$AG$31,26,FALSE))</f>
        <v>0</v>
      </c>
      <c r="AD14" s="12">
        <f>IF(ISBLANK(VLOOKUP($B14,بحرا!$A$2:$AJ$31,27,FALSE)),0,VLOOKUP($B14,بحرا!$A$2:$AJ$31,27,FALSE))</f>
        <v>0</v>
      </c>
      <c r="AE14" s="12">
        <f>IF(ISBLANK(VLOOKUP($B14,بحرا!$A$2:$AJ$31,28,FALSE)),0,VLOOKUP($B14,بحرا!$A$2:$AJ$31,28,FALSE))</f>
        <v>0</v>
      </c>
      <c r="AF14" s="12">
        <f>IF(ISBLANK(VLOOKUP($B14,بحرا!$A$2:$AG$31,29,FALSE)),0,VLOOKUP($B14,بحرا!$A$2:$AG$31,29,FALSE))</f>
        <v>0</v>
      </c>
      <c r="AG14" s="12">
        <f>IF(ISBLANK(VLOOKUP($B14,بحرا!$A$2:$AG$31,30,FALSE)),0,VLOOKUP($B14,بحرا!$A$2:$AG$31,30,FALSE))</f>
        <v>0</v>
      </c>
      <c r="AH14" s="12">
        <f>IF(ISBLANK(VLOOKUP($B14,بحرا!$A$2:$AG$31,31,FALSE)),0,VLOOKUP($B14,بحرا!$A$2:$AG$31,31,FALSE))</f>
        <v>0</v>
      </c>
      <c r="AI14" s="12">
        <f>IF(ISBLANK(VLOOKUP($B14,بحرا!$A$2:$AG$31,32,FALSE)),0,VLOOKUP($B14,بحرا!$A$2:$AG$31,32,FALSE))</f>
        <v>0</v>
      </c>
      <c r="AJ14" s="12">
        <f>IF(ISBLANK(VLOOKUP($B14,بحرا!$A$2:$AJ$31,33,FALSE)),0,VLOOKUP($B14,بحرا!$A$2:$AJ$31,33,FALSE))</f>
        <v>0</v>
      </c>
      <c r="AK14" s="12">
        <f>IF(ISBLANK(VLOOKUP($B14,بحرا!$A$2:$AJ$31,34,FALSE)),0,VLOOKUP($B14,بحرا!$A$2:$AJ$31,34,FALSE))</f>
        <v>0</v>
      </c>
      <c r="AL14" s="12">
        <f>IF(ISBLANK(VLOOKUP($B14,بحرا!$A$2:$AJ$31,35,FALSE)),0,VLOOKUP($B14,بحرا!$A$2:$AJ$31,35,FALSE))</f>
        <v>0</v>
      </c>
      <c r="AM14" s="12">
        <f>IF(ISBLANK(VLOOKUP($B14,بحرا!$A$2:$AJ$31,36,FALSE)),0,VLOOKUP($B14,بحرا!$A$2:$AJ$31,36,FALSE))</f>
        <v>0</v>
      </c>
      <c r="AN14" s="13" t="str">
        <f t="shared" si="0"/>
        <v/>
      </c>
    </row>
    <row r="15" spans="2:40" ht="48" customHeight="1" thickTop="1" thickBot="1">
      <c r="B15" s="10" t="str">
        <f>بحرا!A8</f>
        <v>سيدي بوزيد</v>
      </c>
      <c r="C15" s="11" t="str">
        <f>IF(ISBLANK(VLOOKUP($B15,بحرا!$A$2:$AG$31,3,FALSE)),"",VLOOKUP($B15,بحرا!$A$2:$AG$31,3,FALSE))</f>
        <v/>
      </c>
      <c r="D15" s="11" t="str">
        <f>IF(ISBLANK(VLOOKUP($B15,بحرا!$A$2:$AG$31,2,FALSE)),"",VLOOKUP($B15,بحرا!$A$2:$AG$31,2,FALSE))</f>
        <v/>
      </c>
      <c r="E15" s="11" t="str">
        <f>IF(ISBLANK(VLOOKUP($B15,بحرا!$A$2:$AG$31,4,FALSE)),"",VLOOKUP($B15,بحرا!$A$2:$AG$31,4,FALSE))</f>
        <v/>
      </c>
      <c r="F15" s="11" t="str">
        <f>IF(ISBLANK(VLOOKUP($B15,بحرا!$A$2:$AG$31,5,FALSE)),"",VLOOKUP($B15,بحرا!$A$2:$AG$31,5,FALSE))</f>
        <v/>
      </c>
      <c r="G15" s="11" t="str">
        <f>IF(ISBLANK(VLOOKUP($B15,بحرا!$A$2:$AG$31,6,FALSE)),"",VLOOKUP($B15,بحرا!$A$2:$AG$31,6,FALSE))</f>
        <v/>
      </c>
      <c r="H15" s="11" t="str">
        <f>IF(ISBLANK(VLOOKUP($B15,بحرا!$A$2:$AG$31,7,FALSE)),"",VLOOKUP($B15,بحرا!$A$2:$AG$31,7,FALSE))</f>
        <v/>
      </c>
      <c r="I15" s="11" t="str">
        <f>IF(ISBLANK(VLOOKUP($B15,بحرا!$A$2:$AG$31,8,FALSE)),"",VLOOKUP($B15,بحرا!$A$2:$AG$31,8,FALSE))</f>
        <v/>
      </c>
      <c r="J15" s="11" t="str">
        <f>IF(ISBLANK(VLOOKUP($B15,بحرا!$A$2:$AG$31,9,FALSE)),"",VLOOKUP($B15,بحرا!$A$2:$AG$31,9,FALSE))</f>
        <v/>
      </c>
      <c r="K15" s="11" t="str">
        <f>IF(ISBLANK(VLOOKUP($B15,بحرا!$A$2:$AG$31,10,FALSE)),"",VLOOKUP($B15,بحرا!$A$2:$AG$31,10,FALSE))</f>
        <v/>
      </c>
      <c r="L15" s="11" t="str">
        <f>IF(ISBLANK(VLOOKUP($B15,بحرا!$A$2:$AG$31,11,FALSE)),"",VLOOKUP($B15,بحرا!$A$2:$AG$31,11,FALSE))</f>
        <v/>
      </c>
      <c r="M15" s="11" t="str">
        <f>IF(ISBLANK(VLOOKUP($B15,بحرا!$A$2:$AG$31,12,FALSE)),"",VLOOKUP($B15,بحرا!$A$2:$AG$31,12,FALSE))</f>
        <v/>
      </c>
      <c r="N15" s="11" t="str">
        <f>IF(ISBLANK(VLOOKUP($B15,بحرا!$A$2:$AG$31,13,FALSE)),"",VLOOKUP($B15,بحرا!$A$2:$AG$31,13,FALSE))</f>
        <v/>
      </c>
      <c r="O15" s="11" t="str">
        <f>IF(ISBLANK(VLOOKUP($B15,بحرا!$A$2:$AG$31,14,FALSE)),"",VLOOKUP($B15,بحرا!$A$2:$AG$31,14,FALSE))</f>
        <v/>
      </c>
      <c r="P15" s="11" t="str">
        <f>IF(ISBLANK(VLOOKUP($B15,بحرا!$A$2:$AG$31,15,FALSE)),"",VLOOKUP($B15,بحرا!$A$2:$AG$31,15,FALSE))</f>
        <v/>
      </c>
      <c r="Q15" s="11" t="str">
        <f>IF(ISBLANK(VLOOKUP($B15,بحرا!$A$2:$AG$31,16,FALSE)),"",VLOOKUP($B15,بحرا!$A$2:$AG$31,16,FALSE))</f>
        <v/>
      </c>
      <c r="R15" s="15"/>
      <c r="S15" s="11" t="str">
        <f>IF(ISBLANK(VLOOKUP($B15,بحرا!$A$2:$AG$31,17,FALSE)),"",VLOOKUP($B15,بحرا!$A$2:$AG$31,17,FALSE))</f>
        <v/>
      </c>
      <c r="T15" s="15"/>
      <c r="U15" s="11" t="str">
        <f>IF(ISBLANK(VLOOKUP($B15,بحرا!$A$2:$AG$31,18,FALSE)),"",VLOOKUP($B15,بحرا!$A$2:$AG$31,18,FALSE))</f>
        <v/>
      </c>
      <c r="V15" s="11" t="str">
        <f>IF(ISBLANK(VLOOKUP($B15,بحرا!$A$2:$AG$31,19,FALSE)),"",VLOOKUP($B15,بحرا!$A$2:$AG$31,19,FALSE))</f>
        <v/>
      </c>
      <c r="W15" s="11" t="str">
        <f>IF(ISBLANK(VLOOKUP($B15,بحرا!$A$2:$AG$31,20,FALSE)),"",VLOOKUP($B15,بحرا!$A$2:$AG$31,20,FALSE))</f>
        <v/>
      </c>
      <c r="X15" s="12">
        <f>IF(ISBLANK(VLOOKUP($B15,بحرا!$A$2:$AG$31,21,FALSE)),0,VLOOKUP($B15,بحرا!$A$2:$AG$31,21,FALSE))</f>
        <v>0</v>
      </c>
      <c r="Y15" s="12">
        <f>IF(ISBLANK(VLOOKUP($B15,بحرا!$A$2:$AG$31,22,FALSE)),0,VLOOKUP($B15,بحرا!$A$2:$AG$31,22,FALSE))</f>
        <v>0</v>
      </c>
      <c r="Z15" s="12">
        <f>IF(ISBLANK(VLOOKUP($B15,بحرا!$A$2:$AG$31,23,FALSE)),0,VLOOKUP($B15,بحرا!$A$2:$AG$31,23,FALSE))</f>
        <v>0</v>
      </c>
      <c r="AA15" s="12">
        <f>IF(ISBLANK(VLOOKUP($B15,بحرا!$A$2:$AG$31,24,FALSE)),0,VLOOKUP($B15,بحرا!$A$2:$AG$31,24,FALSE))</f>
        <v>0</v>
      </c>
      <c r="AB15" s="12">
        <f>IF(ISBLANK(VLOOKUP($B15,بحرا!$A$2:$AG$31,25,FALSE)),0,VLOOKUP($B15,بحرا!$A$2:$AG$31,25,FALSE))</f>
        <v>0</v>
      </c>
      <c r="AC15" s="12">
        <f>IF(ISBLANK(VLOOKUP($B15,بحرا!$A$2:$AG$31,26,FALSE)),0,VLOOKUP($B15,بحرا!$A$2:$AG$31,26,FALSE))</f>
        <v>0</v>
      </c>
      <c r="AD15" s="12">
        <f>IF(ISBLANK(VLOOKUP($B15,بحرا!$A$2:$AJ$31,27,FALSE)),0,VLOOKUP($B15,بحرا!$A$2:$AJ$31,27,FALSE))</f>
        <v>0</v>
      </c>
      <c r="AE15" s="12">
        <f>IF(ISBLANK(VLOOKUP($B15,بحرا!$A$2:$AJ$31,28,FALSE)),0,VLOOKUP($B15,بحرا!$A$2:$AJ$31,28,FALSE))</f>
        <v>0</v>
      </c>
      <c r="AF15" s="12">
        <f>IF(ISBLANK(VLOOKUP($B15,بحرا!$A$2:$AG$31,29,FALSE)),0,VLOOKUP($B15,بحرا!$A$2:$AG$31,29,FALSE))</f>
        <v>0</v>
      </c>
      <c r="AG15" s="12">
        <f>IF(ISBLANK(VLOOKUP($B15,بحرا!$A$2:$AG$31,30,FALSE)),0,VLOOKUP($B15,بحرا!$A$2:$AG$31,30,FALSE))</f>
        <v>0</v>
      </c>
      <c r="AH15" s="12">
        <f>IF(ISBLANK(VLOOKUP($B15,بحرا!$A$2:$AG$31,31,FALSE)),0,VLOOKUP($B15,بحرا!$A$2:$AG$31,31,FALSE))</f>
        <v>0</v>
      </c>
      <c r="AI15" s="12">
        <f>IF(ISBLANK(VLOOKUP($B15,بحرا!$A$2:$AG$31,32,FALSE)),0,VLOOKUP($B15,بحرا!$A$2:$AG$31,32,FALSE))</f>
        <v>0</v>
      </c>
      <c r="AJ15" s="12">
        <f>IF(ISBLANK(VLOOKUP($B15,بحرا!$A$2:$AJ$31,33,FALSE)),0,VLOOKUP($B15,بحرا!$A$2:$AJ$31,33,FALSE))</f>
        <v>0</v>
      </c>
      <c r="AK15" s="12">
        <f>IF(ISBLANK(VLOOKUP($B15,بحرا!$A$2:$AJ$31,34,FALSE)),0,VLOOKUP($B15,بحرا!$A$2:$AJ$31,34,FALSE))</f>
        <v>0</v>
      </c>
      <c r="AL15" s="12">
        <f>IF(ISBLANK(VLOOKUP($B15,بحرا!$A$2:$AJ$31,35,FALSE)),0,VLOOKUP($B15,بحرا!$A$2:$AJ$31,35,FALSE))</f>
        <v>0</v>
      </c>
      <c r="AM15" s="12">
        <f>IF(ISBLANK(VLOOKUP($B15,بحرا!$A$2:$AJ$31,36,FALSE)),0,VLOOKUP($B15,بحرا!$A$2:$AJ$31,36,FALSE))</f>
        <v>0</v>
      </c>
      <c r="AN15" s="13" t="str">
        <f t="shared" si="0"/>
        <v/>
      </c>
    </row>
    <row r="16" spans="2:40" ht="48" customHeight="1" thickTop="1" thickBot="1">
      <c r="B16" s="10" t="str">
        <f>بحرا!A9</f>
        <v>سوسة</v>
      </c>
      <c r="C16" s="11" t="str">
        <f>IF(ISBLANK(VLOOKUP($B16,بحرا!$A$2:$AG$31,3,FALSE)),"",VLOOKUP($B16,بحرا!$A$2:$AG$31,3,FALSE))</f>
        <v/>
      </c>
      <c r="D16" s="11" t="str">
        <f>IF(ISBLANK(VLOOKUP($B16,بحرا!$A$2:$AG$31,2,FALSE)),"",VLOOKUP($B16,بحرا!$A$2:$AG$31,2,FALSE))</f>
        <v/>
      </c>
      <c r="E16" s="11" t="str">
        <f>IF(ISBLANK(VLOOKUP($B16,بحرا!$A$2:$AG$31,4,FALSE)),"",VLOOKUP($B16,بحرا!$A$2:$AG$31,4,FALSE))</f>
        <v/>
      </c>
      <c r="F16" s="11" t="str">
        <f>IF(ISBLANK(VLOOKUP($B16,بحرا!$A$2:$AG$31,5,FALSE)),"",VLOOKUP($B16,بحرا!$A$2:$AG$31,5,FALSE))</f>
        <v/>
      </c>
      <c r="G16" s="11" t="str">
        <f>IF(ISBLANK(VLOOKUP($B16,بحرا!$A$2:$AG$31,6,FALSE)),"",VLOOKUP($B16,بحرا!$A$2:$AG$31,6,FALSE))</f>
        <v/>
      </c>
      <c r="H16" s="11" t="str">
        <f>IF(ISBLANK(VLOOKUP($B16,بحرا!$A$2:$AG$31,7,FALSE)),"",VLOOKUP($B16,بحرا!$A$2:$AG$31,7,FALSE))</f>
        <v/>
      </c>
      <c r="I16" s="11" t="str">
        <f>IF(ISBLANK(VLOOKUP($B16,بحرا!$A$2:$AG$31,8,FALSE)),"",VLOOKUP($B16,بحرا!$A$2:$AG$31,8,FALSE))</f>
        <v/>
      </c>
      <c r="J16" s="11" t="str">
        <f>IF(ISBLANK(VLOOKUP($B16,بحرا!$A$2:$AG$31,9,FALSE)),"",VLOOKUP($B16,بحرا!$A$2:$AG$31,9,FALSE))</f>
        <v/>
      </c>
      <c r="K16" s="11" t="str">
        <f>IF(ISBLANK(VLOOKUP($B16,بحرا!$A$2:$AG$31,10,FALSE)),"",VLOOKUP($B16,بحرا!$A$2:$AG$31,10,FALSE))</f>
        <v/>
      </c>
      <c r="L16" s="11" t="str">
        <f>IF(ISBLANK(VLOOKUP($B16,بحرا!$A$2:$AG$31,11,FALSE)),"",VLOOKUP($B16,بحرا!$A$2:$AG$31,11,FALSE))</f>
        <v/>
      </c>
      <c r="M16" s="11" t="str">
        <f>IF(ISBLANK(VLOOKUP($B16,بحرا!$A$2:$AG$31,12,FALSE)),"",VLOOKUP($B16,بحرا!$A$2:$AG$31,12,FALSE))</f>
        <v/>
      </c>
      <c r="N16" s="11" t="str">
        <f>IF(ISBLANK(VLOOKUP($B16,بحرا!$A$2:$AG$31,13,FALSE)),"",VLOOKUP($B16,بحرا!$A$2:$AG$31,13,FALSE))</f>
        <v/>
      </c>
      <c r="O16" s="11" t="str">
        <f>IF(ISBLANK(VLOOKUP($B16,بحرا!$A$2:$AG$31,14,FALSE)),"",VLOOKUP($B16,بحرا!$A$2:$AG$31,14,FALSE))</f>
        <v/>
      </c>
      <c r="P16" s="11" t="str">
        <f>IF(ISBLANK(VLOOKUP($B16,بحرا!$A$2:$AG$31,15,FALSE)),"",VLOOKUP($B16,بحرا!$A$2:$AG$31,15,FALSE))</f>
        <v/>
      </c>
      <c r="Q16" s="11" t="str">
        <f>IF(ISBLANK(VLOOKUP($B16,بحرا!$A$2:$AG$31,16,FALSE)),"",VLOOKUP($B16,بحرا!$A$2:$AG$31,16,FALSE))</f>
        <v/>
      </c>
      <c r="R16" s="15"/>
      <c r="S16" s="11" t="str">
        <f>IF(ISBLANK(VLOOKUP($B16,بحرا!$A$2:$AG$31,17,FALSE)),"",VLOOKUP($B16,بحرا!$A$2:$AG$31,17,FALSE))</f>
        <v/>
      </c>
      <c r="T16" s="15"/>
      <c r="U16" s="11" t="str">
        <f>IF(ISBLANK(VLOOKUP($B16,بحرا!$A$2:$AG$31,18,FALSE)),"",VLOOKUP($B16,بحرا!$A$2:$AG$31,18,FALSE))</f>
        <v/>
      </c>
      <c r="V16" s="11" t="str">
        <f>IF(ISBLANK(VLOOKUP($B16,بحرا!$A$2:$AG$31,19,FALSE)),"",VLOOKUP($B16,بحرا!$A$2:$AG$31,19,FALSE))</f>
        <v/>
      </c>
      <c r="W16" s="11" t="str">
        <f>IF(ISBLANK(VLOOKUP($B16,بحرا!$A$2:$AG$31,20,FALSE)),"",VLOOKUP($B16,بحرا!$A$2:$AG$31,20,FALSE))</f>
        <v/>
      </c>
      <c r="X16" s="12">
        <f>IF(ISBLANK(VLOOKUP($B16,بحرا!$A$2:$AG$31,21,FALSE)),0,VLOOKUP($B16,بحرا!$A$2:$AG$31,21,FALSE))</f>
        <v>0</v>
      </c>
      <c r="Y16" s="12">
        <f>IF(ISBLANK(VLOOKUP($B16,بحرا!$A$2:$AG$31,22,FALSE)),0,VLOOKUP($B16,بحرا!$A$2:$AG$31,22,FALSE))</f>
        <v>0</v>
      </c>
      <c r="Z16" s="12">
        <f>IF(ISBLANK(VLOOKUP($B16,بحرا!$A$2:$AG$31,23,FALSE)),0,VLOOKUP($B16,بحرا!$A$2:$AG$31,23,FALSE))</f>
        <v>0</v>
      </c>
      <c r="AA16" s="12">
        <f>IF(ISBLANK(VLOOKUP($B16,بحرا!$A$2:$AG$31,24,FALSE)),0,VLOOKUP($B16,بحرا!$A$2:$AG$31,24,FALSE))</f>
        <v>0</v>
      </c>
      <c r="AB16" s="12">
        <f>IF(ISBLANK(VLOOKUP($B16,بحرا!$A$2:$AG$31,25,FALSE)),0,VLOOKUP($B16,بحرا!$A$2:$AG$31,25,FALSE))</f>
        <v>0</v>
      </c>
      <c r="AC16" s="12">
        <f>IF(ISBLANK(VLOOKUP($B16,بحرا!$A$2:$AG$31,26,FALSE)),0,VLOOKUP($B16,بحرا!$A$2:$AG$31,26,FALSE))</f>
        <v>0</v>
      </c>
      <c r="AD16" s="12">
        <f>IF(ISBLANK(VLOOKUP($B16,بحرا!$A$2:$AJ$31,27,FALSE)),0,VLOOKUP($B16,بحرا!$A$2:$AJ$31,27,FALSE))</f>
        <v>0</v>
      </c>
      <c r="AE16" s="12">
        <f>IF(ISBLANK(VLOOKUP($B16,بحرا!$A$2:$AJ$31,28,FALSE)),0,VLOOKUP($B16,بحرا!$A$2:$AJ$31,28,FALSE))</f>
        <v>0</v>
      </c>
      <c r="AF16" s="12">
        <f>IF(ISBLANK(VLOOKUP($B16,بحرا!$A$2:$AG$31,29,FALSE)),0,VLOOKUP($B16,بحرا!$A$2:$AG$31,29,FALSE))</f>
        <v>0</v>
      </c>
      <c r="AG16" s="12">
        <f>IF(ISBLANK(VLOOKUP($B16,بحرا!$A$2:$AG$31,30,FALSE)),0,VLOOKUP($B16,بحرا!$A$2:$AG$31,30,FALSE))</f>
        <v>0</v>
      </c>
      <c r="AH16" s="12">
        <f>IF(ISBLANK(VLOOKUP($B16,بحرا!$A$2:$AG$31,31,FALSE)),0,VLOOKUP($B16,بحرا!$A$2:$AG$31,31,FALSE))</f>
        <v>0</v>
      </c>
      <c r="AI16" s="12">
        <f>IF(ISBLANK(VLOOKUP($B16,بحرا!$A$2:$AG$31,32,FALSE)),0,VLOOKUP($B16,بحرا!$A$2:$AG$31,32,FALSE))</f>
        <v>0</v>
      </c>
      <c r="AJ16" s="12">
        <f>IF(ISBLANK(VLOOKUP($B16,بحرا!$A$2:$AJ$31,33,FALSE)),0,VLOOKUP($B16,بحرا!$A$2:$AJ$31,33,FALSE))</f>
        <v>0</v>
      </c>
      <c r="AK16" s="12">
        <f>IF(ISBLANK(VLOOKUP($B16,بحرا!$A$2:$AJ$31,34,FALSE)),0,VLOOKUP($B16,بحرا!$A$2:$AJ$31,34,FALSE))</f>
        <v>0</v>
      </c>
      <c r="AL16" s="12">
        <f>IF(ISBLANK(VLOOKUP($B16,بحرا!$A$2:$AJ$31,35,FALSE)),0,VLOOKUP($B16,بحرا!$A$2:$AJ$31,35,FALSE))</f>
        <v>0</v>
      </c>
      <c r="AM16" s="12">
        <f>IF(ISBLANK(VLOOKUP($B16,بحرا!$A$2:$AJ$31,36,FALSE)),0,VLOOKUP($B16,بحرا!$A$2:$AJ$31,36,FALSE))</f>
        <v>0</v>
      </c>
      <c r="AN16" s="13" t="str">
        <f t="shared" si="0"/>
        <v/>
      </c>
    </row>
    <row r="17" spans="2:40" ht="48" customHeight="1" thickTop="1" thickBot="1">
      <c r="B17" s="10" t="str">
        <f>بحرا!A10</f>
        <v>سليانة</v>
      </c>
      <c r="C17" s="11" t="str">
        <f>IF(ISBLANK(VLOOKUP($B17,بحرا!$A$2:$AG$31,3,FALSE)),"",VLOOKUP($B17,بحرا!$A$2:$AG$31,3,FALSE))</f>
        <v/>
      </c>
      <c r="D17" s="11" t="str">
        <f>IF(ISBLANK(VLOOKUP($B17,بحرا!$A$2:$AG$31,2,FALSE)),"",VLOOKUP($B17,بحرا!$A$2:$AG$31,2,FALSE))</f>
        <v/>
      </c>
      <c r="E17" s="11" t="str">
        <f>IF(ISBLANK(VLOOKUP($B17,بحرا!$A$2:$AG$31,4,FALSE)),"",VLOOKUP($B17,بحرا!$A$2:$AG$31,4,FALSE))</f>
        <v/>
      </c>
      <c r="F17" s="11" t="str">
        <f>IF(ISBLANK(VLOOKUP($B17,بحرا!$A$2:$AG$31,5,FALSE)),"",VLOOKUP($B17,بحرا!$A$2:$AG$31,5,FALSE))</f>
        <v/>
      </c>
      <c r="G17" s="11" t="str">
        <f>IF(ISBLANK(VLOOKUP($B17,بحرا!$A$2:$AG$31,6,FALSE)),"",VLOOKUP($B17,بحرا!$A$2:$AG$31,6,FALSE))</f>
        <v/>
      </c>
      <c r="H17" s="11" t="str">
        <f>IF(ISBLANK(VLOOKUP($B17,بحرا!$A$2:$AG$31,7,FALSE)),"",VLOOKUP($B17,بحرا!$A$2:$AG$31,7,FALSE))</f>
        <v/>
      </c>
      <c r="I17" s="11" t="str">
        <f>IF(ISBLANK(VLOOKUP($B17,بحرا!$A$2:$AG$31,8,FALSE)),"",VLOOKUP($B17,بحرا!$A$2:$AG$31,8,FALSE))</f>
        <v/>
      </c>
      <c r="J17" s="11" t="str">
        <f>IF(ISBLANK(VLOOKUP($B17,بحرا!$A$2:$AG$31,9,FALSE)),"",VLOOKUP($B17,بحرا!$A$2:$AG$31,9,FALSE))</f>
        <v/>
      </c>
      <c r="K17" s="11" t="str">
        <f>IF(ISBLANK(VLOOKUP($B17,بحرا!$A$2:$AG$31,10,FALSE)),"",VLOOKUP($B17,بحرا!$A$2:$AG$31,10,FALSE))</f>
        <v/>
      </c>
      <c r="L17" s="11" t="str">
        <f>IF(ISBLANK(VLOOKUP($B17,بحرا!$A$2:$AG$31,11,FALSE)),"",VLOOKUP($B17,بحرا!$A$2:$AG$31,11,FALSE))</f>
        <v/>
      </c>
      <c r="M17" s="11" t="str">
        <f>IF(ISBLANK(VLOOKUP($B17,بحرا!$A$2:$AG$31,12,FALSE)),"",VLOOKUP($B17,بحرا!$A$2:$AG$31,12,FALSE))</f>
        <v/>
      </c>
      <c r="N17" s="11" t="str">
        <f>IF(ISBLANK(VLOOKUP($B17,بحرا!$A$2:$AG$31,13,FALSE)),"",VLOOKUP($B17,بحرا!$A$2:$AG$31,13,FALSE))</f>
        <v/>
      </c>
      <c r="O17" s="11" t="str">
        <f>IF(ISBLANK(VLOOKUP($B17,بحرا!$A$2:$AG$31,14,FALSE)),"",VLOOKUP($B17,بحرا!$A$2:$AG$31,14,FALSE))</f>
        <v/>
      </c>
      <c r="P17" s="11" t="str">
        <f>IF(ISBLANK(VLOOKUP($B17,بحرا!$A$2:$AG$31,15,FALSE)),"",VLOOKUP($B17,بحرا!$A$2:$AG$31,15,FALSE))</f>
        <v/>
      </c>
      <c r="Q17" s="11" t="str">
        <f>IF(ISBLANK(VLOOKUP($B17,بحرا!$A$2:$AG$31,16,FALSE)),"",VLOOKUP($B17,بحرا!$A$2:$AG$31,16,FALSE))</f>
        <v/>
      </c>
      <c r="R17" s="15"/>
      <c r="S17" s="11" t="str">
        <f>IF(ISBLANK(VLOOKUP($B17,بحرا!$A$2:$AG$31,17,FALSE)),"",VLOOKUP($B17,بحرا!$A$2:$AG$31,17,FALSE))</f>
        <v/>
      </c>
      <c r="T17" s="15"/>
      <c r="U17" s="11" t="str">
        <f>IF(ISBLANK(VLOOKUP($B17,بحرا!$A$2:$AG$31,18,FALSE)),"",VLOOKUP($B17,بحرا!$A$2:$AG$31,18,FALSE))</f>
        <v/>
      </c>
      <c r="V17" s="11" t="str">
        <f>IF(ISBLANK(VLOOKUP($B17,بحرا!$A$2:$AG$31,19,FALSE)),"",VLOOKUP($B17,بحرا!$A$2:$AG$31,19,FALSE))</f>
        <v/>
      </c>
      <c r="W17" s="11" t="str">
        <f>IF(ISBLANK(VLOOKUP($B17,بحرا!$A$2:$AG$31,20,FALSE)),"",VLOOKUP($B17,بحرا!$A$2:$AG$31,20,FALSE))</f>
        <v/>
      </c>
      <c r="X17" s="12">
        <f>IF(ISBLANK(VLOOKUP($B17,بحرا!$A$2:$AG$31,21,FALSE)),0,VLOOKUP($B17,بحرا!$A$2:$AG$31,21,FALSE))</f>
        <v>0</v>
      </c>
      <c r="Y17" s="12">
        <f>IF(ISBLANK(VLOOKUP($B17,بحرا!$A$2:$AG$31,22,FALSE)),0,VLOOKUP($B17,بحرا!$A$2:$AG$31,22,FALSE))</f>
        <v>0</v>
      </c>
      <c r="Z17" s="12">
        <f>IF(ISBLANK(VLOOKUP($B17,بحرا!$A$2:$AG$31,23,FALSE)),0,VLOOKUP($B17,بحرا!$A$2:$AG$31,23,FALSE))</f>
        <v>0</v>
      </c>
      <c r="AA17" s="12">
        <f>IF(ISBLANK(VLOOKUP($B17,بحرا!$A$2:$AG$31,24,FALSE)),0,VLOOKUP($B17,بحرا!$A$2:$AG$31,24,FALSE))</f>
        <v>0</v>
      </c>
      <c r="AB17" s="12">
        <f>IF(ISBLANK(VLOOKUP($B17,بحرا!$A$2:$AG$31,25,FALSE)),0,VLOOKUP($B17,بحرا!$A$2:$AG$31,25,FALSE))</f>
        <v>0</v>
      </c>
      <c r="AC17" s="12">
        <f>IF(ISBLANK(VLOOKUP($B17,بحرا!$A$2:$AG$31,26,FALSE)),0,VLOOKUP($B17,بحرا!$A$2:$AG$31,26,FALSE))</f>
        <v>0</v>
      </c>
      <c r="AD17" s="12">
        <f>IF(ISBLANK(VLOOKUP($B17,بحرا!$A$2:$AJ$31,27,FALSE)),0,VLOOKUP($B17,بحرا!$A$2:$AJ$31,27,FALSE))</f>
        <v>0</v>
      </c>
      <c r="AE17" s="12">
        <f>IF(ISBLANK(VLOOKUP($B17,بحرا!$A$2:$AJ$31,28,FALSE)),0,VLOOKUP($B17,بحرا!$A$2:$AJ$31,28,FALSE))</f>
        <v>0</v>
      </c>
      <c r="AF17" s="12">
        <f>IF(ISBLANK(VLOOKUP($B17,بحرا!$A$2:$AG$31,29,FALSE)),0,VLOOKUP($B17,بحرا!$A$2:$AG$31,29,FALSE))</f>
        <v>0</v>
      </c>
      <c r="AG17" s="12">
        <f>IF(ISBLANK(VLOOKUP($B17,بحرا!$A$2:$AG$31,30,FALSE)),0,VLOOKUP($B17,بحرا!$A$2:$AG$31,30,FALSE))</f>
        <v>0</v>
      </c>
      <c r="AH17" s="12">
        <f>IF(ISBLANK(VLOOKUP($B17,بحرا!$A$2:$AG$31,31,FALSE)),0,VLOOKUP($B17,بحرا!$A$2:$AG$31,31,FALSE))</f>
        <v>0</v>
      </c>
      <c r="AI17" s="12">
        <f>IF(ISBLANK(VLOOKUP($B17,بحرا!$A$2:$AG$31,32,FALSE)),0,VLOOKUP($B17,بحرا!$A$2:$AG$31,32,FALSE))</f>
        <v>0</v>
      </c>
      <c r="AJ17" s="12">
        <f>IF(ISBLANK(VLOOKUP($B17,بحرا!$A$2:$AJ$31,33,FALSE)),0,VLOOKUP($B17,بحرا!$A$2:$AJ$31,33,FALSE))</f>
        <v>0</v>
      </c>
      <c r="AK17" s="12">
        <f>IF(ISBLANK(VLOOKUP($B17,بحرا!$A$2:$AJ$31,34,FALSE)),0,VLOOKUP($B17,بحرا!$A$2:$AJ$31,34,FALSE))</f>
        <v>0</v>
      </c>
      <c r="AL17" s="12">
        <f>IF(ISBLANK(VLOOKUP($B17,بحرا!$A$2:$AJ$31,35,FALSE)),0,VLOOKUP($B17,بحرا!$A$2:$AJ$31,35,FALSE))</f>
        <v>0</v>
      </c>
      <c r="AM17" s="12">
        <f>IF(ISBLANK(VLOOKUP($B17,بحرا!$A$2:$AJ$31,36,FALSE)),0,VLOOKUP($B17,بحرا!$A$2:$AJ$31,36,FALSE))</f>
        <v>0</v>
      </c>
      <c r="AN17" s="13" t="str">
        <f t="shared" si="0"/>
        <v/>
      </c>
    </row>
    <row r="18" spans="2:40" ht="48" customHeight="1" thickTop="1" thickBot="1">
      <c r="B18" s="10" t="str">
        <f>بحرا!A11</f>
        <v>زغوان</v>
      </c>
      <c r="C18" s="11" t="str">
        <f>IF(ISBLANK(VLOOKUP($B18,بحرا!$A$2:$AG$31,3,FALSE)),"",VLOOKUP($B18,بحرا!$A$2:$AG$31,3,FALSE))</f>
        <v/>
      </c>
      <c r="D18" s="11" t="str">
        <f>IF(ISBLANK(VLOOKUP($B18,بحرا!$A$2:$AG$31,2,FALSE)),"",VLOOKUP($B18,بحرا!$A$2:$AG$31,2,FALSE))</f>
        <v/>
      </c>
      <c r="E18" s="11" t="str">
        <f>IF(ISBLANK(VLOOKUP($B18,بحرا!$A$2:$AG$31,4,FALSE)),"",VLOOKUP($B18,بحرا!$A$2:$AG$31,4,FALSE))</f>
        <v/>
      </c>
      <c r="F18" s="11" t="str">
        <f>IF(ISBLANK(VLOOKUP($B18,بحرا!$A$2:$AG$31,5,FALSE)),"",VLOOKUP($B18,بحرا!$A$2:$AG$31,5,FALSE))</f>
        <v/>
      </c>
      <c r="G18" s="11" t="str">
        <f>IF(ISBLANK(VLOOKUP($B18,بحرا!$A$2:$AG$31,6,FALSE)),"",VLOOKUP($B18,بحرا!$A$2:$AG$31,6,FALSE))</f>
        <v/>
      </c>
      <c r="H18" s="11" t="str">
        <f>IF(ISBLANK(VLOOKUP($B18,بحرا!$A$2:$AG$31,7,FALSE)),"",VLOOKUP($B18,بحرا!$A$2:$AG$31,7,FALSE))</f>
        <v/>
      </c>
      <c r="I18" s="11" t="str">
        <f>IF(ISBLANK(VLOOKUP($B18,بحرا!$A$2:$AG$31,8,FALSE)),"",VLOOKUP($B18,بحرا!$A$2:$AG$31,8,FALSE))</f>
        <v/>
      </c>
      <c r="J18" s="11" t="str">
        <f>IF(ISBLANK(VLOOKUP($B18,بحرا!$A$2:$AG$31,9,FALSE)),"",VLOOKUP($B18,بحرا!$A$2:$AG$31,9,FALSE))</f>
        <v/>
      </c>
      <c r="K18" s="11" t="str">
        <f>IF(ISBLANK(VLOOKUP($B18,بحرا!$A$2:$AG$31,10,FALSE)),"",VLOOKUP($B18,بحرا!$A$2:$AG$31,10,FALSE))</f>
        <v/>
      </c>
      <c r="L18" s="11" t="str">
        <f>IF(ISBLANK(VLOOKUP($B18,بحرا!$A$2:$AG$31,11,FALSE)),"",VLOOKUP($B18,بحرا!$A$2:$AG$31,11,FALSE))</f>
        <v/>
      </c>
      <c r="M18" s="11" t="str">
        <f>IF(ISBLANK(VLOOKUP($B18,بحرا!$A$2:$AG$31,12,FALSE)),"",VLOOKUP($B18,بحرا!$A$2:$AG$31,12,FALSE))</f>
        <v/>
      </c>
      <c r="N18" s="11" t="str">
        <f>IF(ISBLANK(VLOOKUP($B18,بحرا!$A$2:$AG$31,13,FALSE)),"",VLOOKUP($B18,بحرا!$A$2:$AG$31,13,FALSE))</f>
        <v/>
      </c>
      <c r="O18" s="11" t="str">
        <f>IF(ISBLANK(VLOOKUP($B18,بحرا!$A$2:$AG$31,14,FALSE)),"",VLOOKUP($B18,بحرا!$A$2:$AG$31,14,FALSE))</f>
        <v/>
      </c>
      <c r="P18" s="11" t="str">
        <f>IF(ISBLANK(VLOOKUP($B18,بحرا!$A$2:$AG$31,15,FALSE)),"",VLOOKUP($B18,بحرا!$A$2:$AG$31,15,FALSE))</f>
        <v/>
      </c>
      <c r="Q18" s="11" t="str">
        <f>IF(ISBLANK(VLOOKUP($B18,بحرا!$A$2:$AG$31,16,FALSE)),"",VLOOKUP($B18,بحرا!$A$2:$AG$31,16,FALSE))</f>
        <v/>
      </c>
      <c r="R18" s="15"/>
      <c r="S18" s="11" t="str">
        <f>IF(ISBLANK(VLOOKUP($B18,بحرا!$A$2:$AG$31,17,FALSE)),"",VLOOKUP($B18,بحرا!$A$2:$AG$31,17,FALSE))</f>
        <v/>
      </c>
      <c r="T18" s="15"/>
      <c r="U18" s="11" t="str">
        <f>IF(ISBLANK(VLOOKUP($B18,بحرا!$A$2:$AG$31,18,FALSE)),"",VLOOKUP($B18,بحرا!$A$2:$AG$31,18,FALSE))</f>
        <v/>
      </c>
      <c r="V18" s="11" t="str">
        <f>IF(ISBLANK(VLOOKUP($B18,بحرا!$A$2:$AG$31,19,FALSE)),"",VLOOKUP($B18,بحرا!$A$2:$AG$31,19,FALSE))</f>
        <v/>
      </c>
      <c r="W18" s="11" t="str">
        <f>IF(ISBLANK(VLOOKUP($B18,بحرا!$A$2:$AG$31,20,FALSE)),"",VLOOKUP($B18,بحرا!$A$2:$AG$31,20,FALSE))</f>
        <v/>
      </c>
      <c r="X18" s="12">
        <f>IF(ISBLANK(VLOOKUP($B18,بحرا!$A$2:$AG$31,21,FALSE)),0,VLOOKUP($B18,بحرا!$A$2:$AG$31,21,FALSE))</f>
        <v>0</v>
      </c>
      <c r="Y18" s="12">
        <f>IF(ISBLANK(VLOOKUP($B18,بحرا!$A$2:$AG$31,22,FALSE)),0,VLOOKUP($B18,بحرا!$A$2:$AG$31,22,FALSE))</f>
        <v>0</v>
      </c>
      <c r="Z18" s="12">
        <f>IF(ISBLANK(VLOOKUP($B18,بحرا!$A$2:$AG$31,23,FALSE)),0,VLOOKUP($B18,بحرا!$A$2:$AG$31,23,FALSE))</f>
        <v>0</v>
      </c>
      <c r="AA18" s="12">
        <f>IF(ISBLANK(VLOOKUP($B18,بحرا!$A$2:$AG$31,24,FALSE)),0,VLOOKUP($B18,بحرا!$A$2:$AG$31,24,FALSE))</f>
        <v>0</v>
      </c>
      <c r="AB18" s="12">
        <f>IF(ISBLANK(VLOOKUP($B18,بحرا!$A$2:$AG$31,25,FALSE)),0,VLOOKUP($B18,بحرا!$A$2:$AG$31,25,FALSE))</f>
        <v>0</v>
      </c>
      <c r="AC18" s="12">
        <f>IF(ISBLANK(VLOOKUP($B18,بحرا!$A$2:$AG$31,26,FALSE)),0,VLOOKUP($B18,بحرا!$A$2:$AG$31,26,FALSE))</f>
        <v>0</v>
      </c>
      <c r="AD18" s="12">
        <f>IF(ISBLANK(VLOOKUP($B18,بحرا!$A$2:$AJ$31,27,FALSE)),0,VLOOKUP($B18,بحرا!$A$2:$AJ$31,27,FALSE))</f>
        <v>0</v>
      </c>
      <c r="AE18" s="12">
        <f>IF(ISBLANK(VLOOKUP($B18,بحرا!$A$2:$AJ$31,28,FALSE)),0,VLOOKUP($B18,بحرا!$A$2:$AJ$31,28,FALSE))</f>
        <v>0</v>
      </c>
      <c r="AF18" s="12">
        <f>IF(ISBLANK(VLOOKUP($B18,بحرا!$A$2:$AG$31,29,FALSE)),0,VLOOKUP($B18,بحرا!$A$2:$AG$31,29,FALSE))</f>
        <v>0</v>
      </c>
      <c r="AG18" s="12">
        <f>IF(ISBLANK(VLOOKUP($B18,بحرا!$A$2:$AG$31,30,FALSE)),0,VLOOKUP($B18,بحرا!$A$2:$AG$31,30,FALSE))</f>
        <v>0</v>
      </c>
      <c r="AH18" s="12">
        <f>IF(ISBLANK(VLOOKUP($B18,بحرا!$A$2:$AG$31,31,FALSE)),0,VLOOKUP($B18,بحرا!$A$2:$AG$31,31,FALSE))</f>
        <v>0</v>
      </c>
      <c r="AI18" s="12">
        <f>IF(ISBLANK(VLOOKUP($B18,بحرا!$A$2:$AG$31,32,FALSE)),0,VLOOKUP($B18,بحرا!$A$2:$AG$31,32,FALSE))</f>
        <v>0</v>
      </c>
      <c r="AJ18" s="12">
        <f>IF(ISBLANK(VLOOKUP($B18,بحرا!$A$2:$AJ$31,33,FALSE)),0,VLOOKUP($B18,بحرا!$A$2:$AJ$31,33,FALSE))</f>
        <v>0</v>
      </c>
      <c r="AK18" s="12">
        <f>IF(ISBLANK(VLOOKUP($B18,بحرا!$A$2:$AJ$31,34,FALSE)),0,VLOOKUP($B18,بحرا!$A$2:$AJ$31,34,FALSE))</f>
        <v>0</v>
      </c>
      <c r="AL18" s="12">
        <f>IF(ISBLANK(VLOOKUP($B18,بحرا!$A$2:$AJ$31,35,FALSE)),0,VLOOKUP($B18,بحرا!$A$2:$AJ$31,35,FALSE))</f>
        <v>0</v>
      </c>
      <c r="AM18" s="12">
        <f>IF(ISBLANK(VLOOKUP($B18,بحرا!$A$2:$AJ$31,36,FALSE)),0,VLOOKUP($B18,بحرا!$A$2:$AJ$31,36,FALSE))</f>
        <v>0</v>
      </c>
      <c r="AN18" s="13" t="str">
        <f t="shared" si="0"/>
        <v/>
      </c>
    </row>
    <row r="19" spans="2:40" ht="48" customHeight="1" thickTop="1" thickBot="1">
      <c r="B19" s="10" t="str">
        <f>بحرا!A12</f>
        <v>جندوبة</v>
      </c>
      <c r="C19" s="11" t="str">
        <f>IF(ISBLANK(VLOOKUP($B19,بحرا!$A$2:$AG$31,3,FALSE)),"",VLOOKUP($B19,بحرا!$A$2:$AG$31,3,FALSE))</f>
        <v/>
      </c>
      <c r="D19" s="11" t="str">
        <f>IF(ISBLANK(VLOOKUP($B19,بحرا!$A$2:$AG$31,2,FALSE)),"",VLOOKUP($B19,بحرا!$A$2:$AG$31,2,FALSE))</f>
        <v/>
      </c>
      <c r="E19" s="11" t="str">
        <f>IF(ISBLANK(VLOOKUP($B19,بحرا!$A$2:$AG$31,4,FALSE)),"",VLOOKUP($B19,بحرا!$A$2:$AG$31,4,FALSE))</f>
        <v/>
      </c>
      <c r="F19" s="11" t="str">
        <f>IF(ISBLANK(VLOOKUP($B19,بحرا!$A$2:$AG$31,5,FALSE)),"",VLOOKUP($B19,بحرا!$A$2:$AG$31,5,FALSE))</f>
        <v/>
      </c>
      <c r="G19" s="11" t="str">
        <f>IF(ISBLANK(VLOOKUP($B19,بحرا!$A$2:$AG$31,6,FALSE)),"",VLOOKUP($B19,بحرا!$A$2:$AG$31,6,FALSE))</f>
        <v/>
      </c>
      <c r="H19" s="11" t="str">
        <f>IF(ISBLANK(VLOOKUP($B19,بحرا!$A$2:$AG$31,7,FALSE)),"",VLOOKUP($B19,بحرا!$A$2:$AG$31,7,FALSE))</f>
        <v/>
      </c>
      <c r="I19" s="11" t="str">
        <f>IF(ISBLANK(VLOOKUP($B19,بحرا!$A$2:$AG$31,8,FALSE)),"",VLOOKUP($B19,بحرا!$A$2:$AG$31,8,FALSE))</f>
        <v/>
      </c>
      <c r="J19" s="11" t="str">
        <f>IF(ISBLANK(VLOOKUP($B19,بحرا!$A$2:$AG$31,9,FALSE)),"",VLOOKUP($B19,بحرا!$A$2:$AG$31,9,FALSE))</f>
        <v/>
      </c>
      <c r="K19" s="11" t="str">
        <f>IF(ISBLANK(VLOOKUP($B19,بحرا!$A$2:$AG$31,10,FALSE)),"",VLOOKUP($B19,بحرا!$A$2:$AG$31,10,FALSE))</f>
        <v/>
      </c>
      <c r="L19" s="11" t="str">
        <f>IF(ISBLANK(VLOOKUP($B19,بحرا!$A$2:$AG$31,11,FALSE)),"",VLOOKUP($B19,بحرا!$A$2:$AG$31,11,FALSE))</f>
        <v/>
      </c>
      <c r="M19" s="11" t="str">
        <f>IF(ISBLANK(VLOOKUP($B19,بحرا!$A$2:$AG$31,12,FALSE)),"",VLOOKUP($B19,بحرا!$A$2:$AG$31,12,FALSE))</f>
        <v/>
      </c>
      <c r="N19" s="11" t="str">
        <f>IF(ISBLANK(VLOOKUP($B19,بحرا!$A$2:$AG$31,13,FALSE)),"",VLOOKUP($B19,بحرا!$A$2:$AG$31,13,FALSE))</f>
        <v/>
      </c>
      <c r="O19" s="11" t="str">
        <f>IF(ISBLANK(VLOOKUP($B19,بحرا!$A$2:$AG$31,14,FALSE)),"",VLOOKUP($B19,بحرا!$A$2:$AG$31,14,FALSE))</f>
        <v/>
      </c>
      <c r="P19" s="11" t="str">
        <f>IF(ISBLANK(VLOOKUP($B19,بحرا!$A$2:$AG$31,15,FALSE)),"",VLOOKUP($B19,بحرا!$A$2:$AG$31,15,FALSE))</f>
        <v/>
      </c>
      <c r="Q19" s="11" t="str">
        <f>IF(ISBLANK(VLOOKUP($B19,بحرا!$A$2:$AG$31,16,FALSE)),"",VLOOKUP($B19,بحرا!$A$2:$AG$31,16,FALSE))</f>
        <v/>
      </c>
      <c r="R19" s="15"/>
      <c r="S19" s="11" t="str">
        <f>IF(ISBLANK(VLOOKUP($B19,بحرا!$A$2:$AG$31,17,FALSE)),"",VLOOKUP($B19,بحرا!$A$2:$AG$31,17,FALSE))</f>
        <v/>
      </c>
      <c r="T19" s="15"/>
      <c r="U19" s="11" t="str">
        <f>IF(ISBLANK(VLOOKUP($B19,بحرا!$A$2:$AG$31,18,FALSE)),"",VLOOKUP($B19,بحرا!$A$2:$AG$31,18,FALSE))</f>
        <v/>
      </c>
      <c r="V19" s="11" t="str">
        <f>IF(ISBLANK(VLOOKUP($B19,بحرا!$A$2:$AG$31,19,FALSE)),"",VLOOKUP($B19,بحرا!$A$2:$AG$31,19,FALSE))</f>
        <v/>
      </c>
      <c r="W19" s="11" t="str">
        <f>IF(ISBLANK(VLOOKUP($B19,بحرا!$A$2:$AG$31,20,FALSE)),"",VLOOKUP($B19,بحرا!$A$2:$AG$31,20,FALSE))</f>
        <v/>
      </c>
      <c r="X19" s="12">
        <f>IF(ISBLANK(VLOOKUP($B19,بحرا!$A$2:$AG$31,21,FALSE)),0,VLOOKUP($B19,بحرا!$A$2:$AG$31,21,FALSE))</f>
        <v>0</v>
      </c>
      <c r="Y19" s="12">
        <f>IF(ISBLANK(VLOOKUP($B19,بحرا!$A$2:$AG$31,22,FALSE)),0,VLOOKUP($B19,بحرا!$A$2:$AG$31,22,FALSE))</f>
        <v>0</v>
      </c>
      <c r="Z19" s="12">
        <f>IF(ISBLANK(VLOOKUP($B19,بحرا!$A$2:$AG$31,23,FALSE)),0,VLOOKUP($B19,بحرا!$A$2:$AG$31,23,FALSE))</f>
        <v>0</v>
      </c>
      <c r="AA19" s="12">
        <f>IF(ISBLANK(VLOOKUP($B19,بحرا!$A$2:$AG$31,24,FALSE)),0,VLOOKUP($B19,بحرا!$A$2:$AG$31,24,FALSE))</f>
        <v>0</v>
      </c>
      <c r="AB19" s="12">
        <f>IF(ISBLANK(VLOOKUP($B19,بحرا!$A$2:$AG$31,25,FALSE)),0,VLOOKUP($B19,بحرا!$A$2:$AG$31,25,FALSE))</f>
        <v>0</v>
      </c>
      <c r="AC19" s="12">
        <f>IF(ISBLANK(VLOOKUP($B19,بحرا!$A$2:$AG$31,26,FALSE)),0,VLOOKUP($B19,بحرا!$A$2:$AG$31,26,FALSE))</f>
        <v>0</v>
      </c>
      <c r="AD19" s="12">
        <f>IF(ISBLANK(VLOOKUP($B19,بحرا!$A$2:$AJ$31,27,FALSE)),0,VLOOKUP($B19,بحرا!$A$2:$AJ$31,27,FALSE))</f>
        <v>0</v>
      </c>
      <c r="AE19" s="12">
        <f>IF(ISBLANK(VLOOKUP($B19,بحرا!$A$2:$AJ$31,28,FALSE)),0,VLOOKUP($B19,بحرا!$A$2:$AJ$31,28,FALSE))</f>
        <v>0</v>
      </c>
      <c r="AF19" s="12">
        <f>IF(ISBLANK(VLOOKUP($B19,بحرا!$A$2:$AG$31,29,FALSE)),0,VLOOKUP($B19,بحرا!$A$2:$AG$31,29,FALSE))</f>
        <v>0</v>
      </c>
      <c r="AG19" s="12">
        <f>IF(ISBLANK(VLOOKUP($B19,بحرا!$A$2:$AG$31,30,FALSE)),0,VLOOKUP($B19,بحرا!$A$2:$AG$31,30,FALSE))</f>
        <v>0</v>
      </c>
      <c r="AH19" s="12">
        <f>IF(ISBLANK(VLOOKUP($B19,بحرا!$A$2:$AG$31,31,FALSE)),0,VLOOKUP($B19,بحرا!$A$2:$AG$31,31,FALSE))</f>
        <v>0</v>
      </c>
      <c r="AI19" s="12">
        <f>IF(ISBLANK(VLOOKUP($B19,بحرا!$A$2:$AG$31,32,FALSE)),0,VLOOKUP($B19,بحرا!$A$2:$AG$31,32,FALSE))</f>
        <v>0</v>
      </c>
      <c r="AJ19" s="12">
        <f>IF(ISBLANK(VLOOKUP($B19,بحرا!$A$2:$AJ$31,33,FALSE)),0,VLOOKUP($B19,بحرا!$A$2:$AJ$31,33,FALSE))</f>
        <v>0</v>
      </c>
      <c r="AK19" s="12">
        <f>IF(ISBLANK(VLOOKUP($B19,بحرا!$A$2:$AJ$31,34,FALSE)),0,VLOOKUP($B19,بحرا!$A$2:$AJ$31,34,FALSE))</f>
        <v>0</v>
      </c>
      <c r="AL19" s="12">
        <f>IF(ISBLANK(VLOOKUP($B19,بحرا!$A$2:$AJ$31,35,FALSE)),0,VLOOKUP($B19,بحرا!$A$2:$AJ$31,35,FALSE))</f>
        <v>0</v>
      </c>
      <c r="AM19" s="12">
        <f>IF(ISBLANK(VLOOKUP($B19,بحرا!$A$2:$AJ$31,36,FALSE)),0,VLOOKUP($B19,بحرا!$A$2:$AJ$31,36,FALSE))</f>
        <v>0</v>
      </c>
      <c r="AN19" s="13" t="str">
        <f t="shared" si="0"/>
        <v/>
      </c>
    </row>
    <row r="20" spans="2:40" ht="51.75" customHeight="1" thickTop="1" thickBot="1">
      <c r="B20" s="10" t="str">
        <f>بحرا!A13</f>
        <v>تونس</v>
      </c>
      <c r="C20" s="11" t="str">
        <f>IF(ISBLANK(VLOOKUP($B20,بحرا!$A$2:$AG$31,3,FALSE)),"",VLOOKUP($B20,بحرا!$A$2:$AG$31,3,FALSE))</f>
        <v/>
      </c>
      <c r="D20" s="11" t="str">
        <f>IF(ISBLANK(VLOOKUP($B20,بحرا!$A$2:$AG$31,2,FALSE)),"",VLOOKUP($B20,بحرا!$A$2:$AG$31,2,FALSE))</f>
        <v/>
      </c>
      <c r="E20" s="11" t="str">
        <f>IF(ISBLANK(VLOOKUP($B20,بحرا!$A$2:$AG$31,4,FALSE)),"",VLOOKUP($B20,بحرا!$A$2:$AG$31,4,FALSE))</f>
        <v/>
      </c>
      <c r="F20" s="11" t="str">
        <f>IF(ISBLANK(VLOOKUP($B20,بحرا!$A$2:$AG$31,5,FALSE)),"",VLOOKUP($B20,بحرا!$A$2:$AG$31,5,FALSE))</f>
        <v/>
      </c>
      <c r="G20" s="11" t="str">
        <f>IF(ISBLANK(VLOOKUP($B20,بحرا!$A$2:$AG$31,6,FALSE)),"",VLOOKUP($B20,بحرا!$A$2:$AG$31,6,FALSE))</f>
        <v/>
      </c>
      <c r="H20" s="11" t="str">
        <f>IF(ISBLANK(VLOOKUP($B20,بحرا!$A$2:$AG$31,7,FALSE)),"",VLOOKUP($B20,بحرا!$A$2:$AG$31,7,FALSE))</f>
        <v/>
      </c>
      <c r="I20" s="11" t="str">
        <f>IF(ISBLANK(VLOOKUP($B20,بحرا!$A$2:$AG$31,8,FALSE)),"",VLOOKUP($B20,بحرا!$A$2:$AG$31,8,FALSE))</f>
        <v/>
      </c>
      <c r="J20" s="11" t="str">
        <f>IF(ISBLANK(VLOOKUP($B20,بحرا!$A$2:$AG$31,9,FALSE)),"",VLOOKUP($B20,بحرا!$A$2:$AG$31,9,FALSE))</f>
        <v/>
      </c>
      <c r="K20" s="11" t="str">
        <f>IF(ISBLANK(VLOOKUP($B20,بحرا!$A$2:$AG$31,10,FALSE)),"",VLOOKUP($B20,بحرا!$A$2:$AG$31,10,FALSE))</f>
        <v/>
      </c>
      <c r="L20" s="11" t="str">
        <f>IF(ISBLANK(VLOOKUP($B20,بحرا!$A$2:$AG$31,11,FALSE)),"",VLOOKUP($B20,بحرا!$A$2:$AG$31,11,FALSE))</f>
        <v/>
      </c>
      <c r="M20" s="11" t="str">
        <f>IF(ISBLANK(VLOOKUP($B20,بحرا!$A$2:$AG$31,12,FALSE)),"",VLOOKUP($B20,بحرا!$A$2:$AG$31,12,FALSE))</f>
        <v/>
      </c>
      <c r="N20" s="11" t="str">
        <f>IF(ISBLANK(VLOOKUP($B20,بحرا!$A$2:$AG$31,13,FALSE)),"",VLOOKUP($B20,بحرا!$A$2:$AG$31,13,FALSE))</f>
        <v/>
      </c>
      <c r="O20" s="11" t="str">
        <f>IF(ISBLANK(VLOOKUP($B20,بحرا!$A$2:$AG$31,14,FALSE)),"",VLOOKUP($B20,بحرا!$A$2:$AG$31,14,FALSE))</f>
        <v/>
      </c>
      <c r="P20" s="11" t="str">
        <f>IF(ISBLANK(VLOOKUP($B20,بحرا!$A$2:$AG$31,15,FALSE)),"",VLOOKUP($B20,بحرا!$A$2:$AG$31,15,FALSE))</f>
        <v/>
      </c>
      <c r="Q20" s="11" t="str">
        <f>IF(ISBLANK(VLOOKUP($B20,بحرا!$A$2:$AG$31,16,FALSE)),"",VLOOKUP($B20,بحرا!$A$2:$AG$31,16,FALSE))</f>
        <v/>
      </c>
      <c r="R20" s="15"/>
      <c r="S20" s="11" t="str">
        <f>IF(ISBLANK(VLOOKUP($B20,بحرا!$A$2:$AG$31,17,FALSE)),"",VLOOKUP($B20,بحرا!$A$2:$AG$31,17,FALSE))</f>
        <v/>
      </c>
      <c r="T20" s="15"/>
      <c r="U20" s="11" t="str">
        <f>IF(ISBLANK(VLOOKUP($B20,بحرا!$A$2:$AG$31,18,FALSE)),"",VLOOKUP($B20,بحرا!$A$2:$AG$31,18,FALSE))</f>
        <v/>
      </c>
      <c r="V20" s="11" t="str">
        <f>IF(ISBLANK(VLOOKUP($B20,بحرا!$A$2:$AG$31,19,FALSE)),"",VLOOKUP($B20,بحرا!$A$2:$AG$31,19,FALSE))</f>
        <v/>
      </c>
      <c r="W20" s="11" t="str">
        <f>IF(ISBLANK(VLOOKUP($B20,بحرا!$A$2:$AG$31,20,FALSE)),"",VLOOKUP($B20,بحرا!$A$2:$AG$31,20,FALSE))</f>
        <v/>
      </c>
      <c r="X20" s="12">
        <f>IF(ISBLANK(VLOOKUP($B20,بحرا!$A$2:$AG$31,21,FALSE)),0,VLOOKUP($B20,بحرا!$A$2:$AG$31,21,FALSE))</f>
        <v>0</v>
      </c>
      <c r="Y20" s="12">
        <f>IF(ISBLANK(VLOOKUP($B20,بحرا!$A$2:$AG$31,22,FALSE)),0,VLOOKUP($B20,بحرا!$A$2:$AG$31,22,FALSE))</f>
        <v>0</v>
      </c>
      <c r="Z20" s="12">
        <f>IF(ISBLANK(VLOOKUP($B20,بحرا!$A$2:$AG$31,23,FALSE)),0,VLOOKUP($B20,بحرا!$A$2:$AG$31,23,FALSE))</f>
        <v>0</v>
      </c>
      <c r="AA20" s="12">
        <f>IF(ISBLANK(VLOOKUP($B20,بحرا!$A$2:$AG$31,24,FALSE)),0,VLOOKUP($B20,بحرا!$A$2:$AG$31,24,FALSE))</f>
        <v>0</v>
      </c>
      <c r="AB20" s="12">
        <f>IF(ISBLANK(VLOOKUP($B20,بحرا!$A$2:$AG$31,25,FALSE)),0,VLOOKUP($B20,بحرا!$A$2:$AG$31,25,FALSE))</f>
        <v>0</v>
      </c>
      <c r="AC20" s="12">
        <f>IF(ISBLANK(VLOOKUP($B20,بحرا!$A$2:$AG$31,26,FALSE)),0,VLOOKUP($B20,بحرا!$A$2:$AG$31,26,FALSE))</f>
        <v>0</v>
      </c>
      <c r="AD20" s="12">
        <f>IF(ISBLANK(VLOOKUP($B20,بحرا!$A$2:$AJ$31,27,FALSE)),0,VLOOKUP($B20,بحرا!$A$2:$AJ$31,27,FALSE))</f>
        <v>0</v>
      </c>
      <c r="AE20" s="12">
        <f>IF(ISBLANK(VLOOKUP($B20,بحرا!$A$2:$AJ$31,28,FALSE)),0,VLOOKUP($B20,بحرا!$A$2:$AJ$31,28,FALSE))</f>
        <v>0</v>
      </c>
      <c r="AF20" s="12">
        <f>IF(ISBLANK(VLOOKUP($B20,بحرا!$A$2:$AG$31,29,FALSE)),0,VLOOKUP($B20,بحرا!$A$2:$AG$31,29,FALSE))</f>
        <v>0</v>
      </c>
      <c r="AG20" s="12">
        <f>IF(ISBLANK(VLOOKUP($B20,بحرا!$A$2:$AG$31,30,FALSE)),0,VLOOKUP($B20,بحرا!$A$2:$AG$31,30,FALSE))</f>
        <v>0</v>
      </c>
      <c r="AH20" s="12">
        <f>IF(ISBLANK(VLOOKUP($B20,بحرا!$A$2:$AG$31,31,FALSE)),0,VLOOKUP($B20,بحرا!$A$2:$AG$31,31,FALSE))</f>
        <v>0</v>
      </c>
      <c r="AI20" s="12">
        <f>IF(ISBLANK(VLOOKUP($B20,بحرا!$A$2:$AG$31,32,FALSE)),0,VLOOKUP($B20,بحرا!$A$2:$AG$31,32,FALSE))</f>
        <v>0</v>
      </c>
      <c r="AJ20" s="12">
        <f>IF(ISBLANK(VLOOKUP($B20,بحرا!$A$2:$AJ$31,33,FALSE)),0,VLOOKUP($B20,بحرا!$A$2:$AJ$31,33,FALSE))</f>
        <v>0</v>
      </c>
      <c r="AK20" s="12">
        <f>IF(ISBLANK(VLOOKUP($B20,بحرا!$A$2:$AJ$31,34,FALSE)),0,VLOOKUP($B20,بحرا!$A$2:$AJ$31,34,FALSE))</f>
        <v>0</v>
      </c>
      <c r="AL20" s="12">
        <f>IF(ISBLANK(VLOOKUP($B20,بحرا!$A$2:$AJ$31,35,FALSE)),0,VLOOKUP($B20,بحرا!$A$2:$AJ$31,35,FALSE))</f>
        <v>0</v>
      </c>
      <c r="AM20" s="12">
        <f>IF(ISBLANK(VLOOKUP($B20,بحرا!$A$2:$AJ$31,36,FALSE)),0,VLOOKUP($B20,بحرا!$A$2:$AJ$31,36,FALSE))</f>
        <v>0</v>
      </c>
      <c r="AN20" s="13" t="str">
        <f t="shared" si="0"/>
        <v/>
      </c>
    </row>
    <row r="21" spans="2:40" ht="48" customHeight="1" thickTop="1" thickBot="1">
      <c r="B21" s="10" t="str">
        <f>بحرا!A14</f>
        <v>توزر</v>
      </c>
      <c r="C21" s="11" t="str">
        <f>IF(ISBLANK(VLOOKUP($B21,بحرا!$A$2:$AG$31,3,FALSE)),"",VLOOKUP($B21,بحرا!$A$2:$AG$31,3,FALSE))</f>
        <v/>
      </c>
      <c r="D21" s="11" t="str">
        <f>IF(ISBLANK(VLOOKUP($B21,بحرا!$A$2:$AG$31,2,FALSE)),"",VLOOKUP($B21,بحرا!$A$2:$AG$31,2,FALSE))</f>
        <v/>
      </c>
      <c r="E21" s="11" t="str">
        <f>IF(ISBLANK(VLOOKUP($B21,بحرا!$A$2:$AG$31,4,FALSE)),"",VLOOKUP($B21,بحرا!$A$2:$AG$31,4,FALSE))</f>
        <v/>
      </c>
      <c r="F21" s="11" t="str">
        <f>IF(ISBLANK(VLOOKUP($B21,بحرا!$A$2:$AG$31,5,FALSE)),"",VLOOKUP($B21,بحرا!$A$2:$AG$31,5,FALSE))</f>
        <v/>
      </c>
      <c r="G21" s="11" t="str">
        <f>IF(ISBLANK(VLOOKUP($B21,بحرا!$A$2:$AG$31,6,FALSE)),"",VLOOKUP($B21,بحرا!$A$2:$AG$31,6,FALSE))</f>
        <v/>
      </c>
      <c r="H21" s="11" t="str">
        <f>IF(ISBLANK(VLOOKUP($B21,بحرا!$A$2:$AG$31,7,FALSE)),"",VLOOKUP($B21,بحرا!$A$2:$AG$31,7,FALSE))</f>
        <v/>
      </c>
      <c r="I21" s="11" t="str">
        <f>IF(ISBLANK(VLOOKUP($B21,بحرا!$A$2:$AG$31,8,FALSE)),"",VLOOKUP($B21,بحرا!$A$2:$AG$31,8,FALSE))</f>
        <v/>
      </c>
      <c r="J21" s="11" t="str">
        <f>IF(ISBLANK(VLOOKUP($B21,بحرا!$A$2:$AG$31,9,FALSE)),"",VLOOKUP($B21,بحرا!$A$2:$AG$31,9,FALSE))</f>
        <v/>
      </c>
      <c r="K21" s="11" t="str">
        <f>IF(ISBLANK(VLOOKUP($B21,بحرا!$A$2:$AG$31,10,FALSE)),"",VLOOKUP($B21,بحرا!$A$2:$AG$31,10,FALSE))</f>
        <v/>
      </c>
      <c r="L21" s="11" t="str">
        <f>IF(ISBLANK(VLOOKUP($B21,بحرا!$A$2:$AG$31,11,FALSE)),"",VLOOKUP($B21,بحرا!$A$2:$AG$31,11,FALSE))</f>
        <v/>
      </c>
      <c r="M21" s="11" t="str">
        <f>IF(ISBLANK(VLOOKUP($B21,بحرا!$A$2:$AG$31,12,FALSE)),"",VLOOKUP($B21,بحرا!$A$2:$AG$31,12,FALSE))</f>
        <v/>
      </c>
      <c r="N21" s="11" t="str">
        <f>IF(ISBLANK(VLOOKUP($B21,بحرا!$A$2:$AG$31,13,FALSE)),"",VLOOKUP($B21,بحرا!$A$2:$AG$31,13,FALSE))</f>
        <v/>
      </c>
      <c r="O21" s="11" t="str">
        <f>IF(ISBLANK(VLOOKUP($B21,بحرا!$A$2:$AG$31,14,FALSE)),"",VLOOKUP($B21,بحرا!$A$2:$AG$31,14,FALSE))</f>
        <v/>
      </c>
      <c r="P21" s="11" t="str">
        <f>IF(ISBLANK(VLOOKUP($B21,بحرا!$A$2:$AG$31,15,FALSE)),"",VLOOKUP($B21,بحرا!$A$2:$AG$31,15,FALSE))</f>
        <v/>
      </c>
      <c r="Q21" s="11" t="str">
        <f>IF(ISBLANK(VLOOKUP($B21,بحرا!$A$2:$AG$31,16,FALSE)),"",VLOOKUP($B21,بحرا!$A$2:$AG$31,16,FALSE))</f>
        <v/>
      </c>
      <c r="R21" s="15"/>
      <c r="S21" s="11" t="str">
        <f>IF(ISBLANK(VLOOKUP($B21,بحرا!$A$2:$AG$31,17,FALSE)),"",VLOOKUP($B21,بحرا!$A$2:$AG$31,17,FALSE))</f>
        <v/>
      </c>
      <c r="T21" s="15"/>
      <c r="U21" s="11" t="str">
        <f>IF(ISBLANK(VLOOKUP($B21,بحرا!$A$2:$AG$31,18,FALSE)),"",VLOOKUP($B21,بحرا!$A$2:$AG$31,18,FALSE))</f>
        <v/>
      </c>
      <c r="V21" s="11" t="str">
        <f>IF(ISBLANK(VLOOKUP($B21,بحرا!$A$2:$AG$31,19,FALSE)),"",VLOOKUP($B21,بحرا!$A$2:$AG$31,19,FALSE))</f>
        <v/>
      </c>
      <c r="W21" s="11" t="str">
        <f>IF(ISBLANK(VLOOKUP($B21,بحرا!$A$2:$AG$31,20,FALSE)),"",VLOOKUP($B21,بحرا!$A$2:$AG$31,20,FALSE))</f>
        <v/>
      </c>
      <c r="X21" s="12">
        <f>IF(ISBLANK(VLOOKUP($B21,بحرا!$A$2:$AG$31,21,FALSE)),0,VLOOKUP($B21,بحرا!$A$2:$AG$31,21,FALSE))</f>
        <v>0</v>
      </c>
      <c r="Y21" s="12">
        <f>IF(ISBLANK(VLOOKUP($B21,بحرا!$A$2:$AG$31,22,FALSE)),0,VLOOKUP($B21,بحرا!$A$2:$AG$31,22,FALSE))</f>
        <v>0</v>
      </c>
      <c r="Z21" s="12">
        <f>IF(ISBLANK(VLOOKUP($B21,بحرا!$A$2:$AG$31,23,FALSE)),0,VLOOKUP($B21,بحرا!$A$2:$AG$31,23,FALSE))</f>
        <v>0</v>
      </c>
      <c r="AA21" s="12">
        <f>IF(ISBLANK(VLOOKUP($B21,بحرا!$A$2:$AG$31,24,FALSE)),0,VLOOKUP($B21,بحرا!$A$2:$AG$31,24,FALSE))</f>
        <v>0</v>
      </c>
      <c r="AB21" s="12">
        <f>IF(ISBLANK(VLOOKUP($B21,بحرا!$A$2:$AG$31,25,FALSE)),0,VLOOKUP($B21,بحرا!$A$2:$AG$31,25,FALSE))</f>
        <v>0</v>
      </c>
      <c r="AC21" s="12">
        <f>IF(ISBLANK(VLOOKUP($B21,بحرا!$A$2:$AG$31,26,FALSE)),0,VLOOKUP($B21,بحرا!$A$2:$AG$31,26,FALSE))</f>
        <v>0</v>
      </c>
      <c r="AD21" s="12">
        <f>IF(ISBLANK(VLOOKUP($B21,بحرا!$A$2:$AJ$31,27,FALSE)),0,VLOOKUP($B21,بحرا!$A$2:$AJ$31,27,FALSE))</f>
        <v>0</v>
      </c>
      <c r="AE21" s="12">
        <f>IF(ISBLANK(VLOOKUP($B21,بحرا!$A$2:$AJ$31,28,FALSE)),0,VLOOKUP($B21,بحرا!$A$2:$AJ$31,28,FALSE))</f>
        <v>0</v>
      </c>
      <c r="AF21" s="12">
        <f>IF(ISBLANK(VLOOKUP($B21,بحرا!$A$2:$AG$31,29,FALSE)),0,VLOOKUP($B21,بحرا!$A$2:$AG$31,29,FALSE))</f>
        <v>0</v>
      </c>
      <c r="AG21" s="12">
        <f>IF(ISBLANK(VLOOKUP($B21,بحرا!$A$2:$AG$31,30,FALSE)),0,VLOOKUP($B21,بحرا!$A$2:$AG$31,30,FALSE))</f>
        <v>0</v>
      </c>
      <c r="AH21" s="12">
        <f>IF(ISBLANK(VLOOKUP($B21,بحرا!$A$2:$AG$31,31,FALSE)),0,VLOOKUP($B21,بحرا!$A$2:$AG$31,31,FALSE))</f>
        <v>0</v>
      </c>
      <c r="AI21" s="12">
        <f>IF(ISBLANK(VLOOKUP($B21,بحرا!$A$2:$AG$31,32,FALSE)),0,VLOOKUP($B21,بحرا!$A$2:$AG$31,32,FALSE))</f>
        <v>0</v>
      </c>
      <c r="AJ21" s="12">
        <f>IF(ISBLANK(VLOOKUP($B21,بحرا!$A$2:$AJ$31,33,FALSE)),0,VLOOKUP($B21,بحرا!$A$2:$AJ$31,33,FALSE))</f>
        <v>0</v>
      </c>
      <c r="AK21" s="12">
        <f>IF(ISBLANK(VLOOKUP($B21,بحرا!$A$2:$AJ$31,34,FALSE)),0,VLOOKUP($B21,بحرا!$A$2:$AJ$31,34,FALSE))</f>
        <v>0</v>
      </c>
      <c r="AL21" s="12">
        <f>IF(ISBLANK(VLOOKUP($B21,بحرا!$A$2:$AJ$31,35,FALSE)),0,VLOOKUP($B21,بحرا!$A$2:$AJ$31,35,FALSE))</f>
        <v>0</v>
      </c>
      <c r="AM21" s="12">
        <f>IF(ISBLANK(VLOOKUP($B21,بحرا!$A$2:$AJ$31,36,FALSE)),0,VLOOKUP($B21,بحرا!$A$2:$AJ$31,36,FALSE))</f>
        <v>0</v>
      </c>
      <c r="AN21" s="13" t="str">
        <f t="shared" si="0"/>
        <v/>
      </c>
    </row>
    <row r="22" spans="2:40" ht="48" customHeight="1" thickTop="1" thickBot="1">
      <c r="B22" s="10" t="str">
        <f>بحرا!A15</f>
        <v>تطاوين</v>
      </c>
      <c r="C22" s="11" t="str">
        <f>IF(ISBLANK(VLOOKUP($B22,بحرا!$A$2:$AG$31,3,FALSE)),"",VLOOKUP($B22,بحرا!$A$2:$AG$31,3,FALSE))</f>
        <v/>
      </c>
      <c r="D22" s="11" t="str">
        <f>IF(ISBLANK(VLOOKUP($B22,بحرا!$A$2:$AG$31,2,FALSE)),"",VLOOKUP($B22,بحرا!$A$2:$AG$31,2,FALSE))</f>
        <v/>
      </c>
      <c r="E22" s="11" t="str">
        <f>IF(ISBLANK(VLOOKUP($B22,بحرا!$A$2:$AG$31,4,FALSE)),"",VLOOKUP($B22,بحرا!$A$2:$AG$31,4,FALSE))</f>
        <v/>
      </c>
      <c r="F22" s="11" t="str">
        <f>IF(ISBLANK(VLOOKUP($B22,بحرا!$A$2:$AG$31,5,FALSE)),"",VLOOKUP($B22,بحرا!$A$2:$AG$31,5,FALSE))</f>
        <v/>
      </c>
      <c r="G22" s="11" t="str">
        <f>IF(ISBLANK(VLOOKUP($B22,بحرا!$A$2:$AG$31,6,FALSE)),"",VLOOKUP($B22,بحرا!$A$2:$AG$31,6,FALSE))</f>
        <v/>
      </c>
      <c r="H22" s="11" t="str">
        <f>IF(ISBLANK(VLOOKUP($B22,بحرا!$A$2:$AG$31,7,FALSE)),"",VLOOKUP($B22,بحرا!$A$2:$AG$31,7,FALSE))</f>
        <v/>
      </c>
      <c r="I22" s="11" t="str">
        <f>IF(ISBLANK(VLOOKUP($B22,بحرا!$A$2:$AG$31,8,FALSE)),"",VLOOKUP($B22,بحرا!$A$2:$AG$31,8,FALSE))</f>
        <v/>
      </c>
      <c r="J22" s="11" t="str">
        <f>IF(ISBLANK(VLOOKUP($B22,بحرا!$A$2:$AG$31,9,FALSE)),"",VLOOKUP($B22,بحرا!$A$2:$AG$31,9,FALSE))</f>
        <v/>
      </c>
      <c r="K22" s="11" t="str">
        <f>IF(ISBLANK(VLOOKUP($B22,بحرا!$A$2:$AG$31,10,FALSE)),"",VLOOKUP($B22,بحرا!$A$2:$AG$31,10,FALSE))</f>
        <v/>
      </c>
      <c r="L22" s="11" t="str">
        <f>IF(ISBLANK(VLOOKUP($B22,بحرا!$A$2:$AG$31,11,FALSE)),"",VLOOKUP($B22,بحرا!$A$2:$AG$31,11,FALSE))</f>
        <v/>
      </c>
      <c r="M22" s="11" t="str">
        <f>IF(ISBLANK(VLOOKUP($B22,بحرا!$A$2:$AG$31,12,FALSE)),"",VLOOKUP($B22,بحرا!$A$2:$AG$31,12,FALSE))</f>
        <v/>
      </c>
      <c r="N22" s="11" t="str">
        <f>IF(ISBLANK(VLOOKUP($B22,بحرا!$A$2:$AG$31,13,FALSE)),"",VLOOKUP($B22,بحرا!$A$2:$AG$31,13,FALSE))</f>
        <v/>
      </c>
      <c r="O22" s="11" t="str">
        <f>IF(ISBLANK(VLOOKUP($B22,بحرا!$A$2:$AG$31,14,FALSE)),"",VLOOKUP($B22,بحرا!$A$2:$AG$31,14,FALSE))</f>
        <v/>
      </c>
      <c r="P22" s="11" t="str">
        <f>IF(ISBLANK(VLOOKUP($B22,بحرا!$A$2:$AG$31,15,FALSE)),"",VLOOKUP($B22,بحرا!$A$2:$AG$31,15,FALSE))</f>
        <v/>
      </c>
      <c r="Q22" s="11" t="str">
        <f>IF(ISBLANK(VLOOKUP($B22,بحرا!$A$2:$AG$31,16,FALSE)),"",VLOOKUP($B22,بحرا!$A$2:$AG$31,16,FALSE))</f>
        <v/>
      </c>
      <c r="R22" s="15"/>
      <c r="S22" s="11" t="str">
        <f>IF(ISBLANK(VLOOKUP($B22,بحرا!$A$2:$AG$31,17,FALSE)),"",VLOOKUP($B22,بحرا!$A$2:$AG$31,17,FALSE))</f>
        <v/>
      </c>
      <c r="T22" s="15"/>
      <c r="U22" s="11" t="str">
        <f>IF(ISBLANK(VLOOKUP($B22,بحرا!$A$2:$AG$31,18,FALSE)),"",VLOOKUP($B22,بحرا!$A$2:$AG$31,18,FALSE))</f>
        <v/>
      </c>
      <c r="V22" s="11" t="str">
        <f>IF(ISBLANK(VLOOKUP($B22,بحرا!$A$2:$AG$31,19,FALSE)),"",VLOOKUP($B22,بحرا!$A$2:$AG$31,19,FALSE))</f>
        <v/>
      </c>
      <c r="W22" s="11" t="str">
        <f>IF(ISBLANK(VLOOKUP($B22,بحرا!$A$2:$AG$31,20,FALSE)),"",VLOOKUP($B22,بحرا!$A$2:$AG$31,20,FALSE))</f>
        <v/>
      </c>
      <c r="X22" s="12">
        <f>IF(ISBLANK(VLOOKUP($B22,بحرا!$A$2:$AG$31,21,FALSE)),0,VLOOKUP($B22,بحرا!$A$2:$AG$31,21,FALSE))</f>
        <v>0</v>
      </c>
      <c r="Y22" s="12">
        <f>IF(ISBLANK(VLOOKUP($B22,بحرا!$A$2:$AG$31,22,FALSE)),0,VLOOKUP($B22,بحرا!$A$2:$AG$31,22,FALSE))</f>
        <v>0</v>
      </c>
      <c r="Z22" s="12">
        <f>IF(ISBLANK(VLOOKUP($B22,بحرا!$A$2:$AG$31,23,FALSE)),0,VLOOKUP($B22,بحرا!$A$2:$AG$31,23,FALSE))</f>
        <v>0</v>
      </c>
      <c r="AA22" s="12">
        <f>IF(ISBLANK(VLOOKUP($B22,بحرا!$A$2:$AG$31,24,FALSE)),0,VLOOKUP($B22,بحرا!$A$2:$AG$31,24,FALSE))</f>
        <v>0</v>
      </c>
      <c r="AB22" s="12">
        <f>IF(ISBLANK(VLOOKUP($B22,بحرا!$A$2:$AG$31,25,FALSE)),0,VLOOKUP($B22,بحرا!$A$2:$AG$31,25,FALSE))</f>
        <v>0</v>
      </c>
      <c r="AC22" s="12">
        <f>IF(ISBLANK(VLOOKUP($B22,بحرا!$A$2:$AG$31,26,FALSE)),0,VLOOKUP($B22,بحرا!$A$2:$AG$31,26,FALSE))</f>
        <v>0</v>
      </c>
      <c r="AD22" s="12">
        <f>IF(ISBLANK(VLOOKUP($B22,بحرا!$A$2:$AJ$31,27,FALSE)),0,VLOOKUP($B22,بحرا!$A$2:$AJ$31,27,FALSE))</f>
        <v>0</v>
      </c>
      <c r="AE22" s="12">
        <f>IF(ISBLANK(VLOOKUP($B22,بحرا!$A$2:$AJ$31,28,FALSE)),0,VLOOKUP($B22,بحرا!$A$2:$AJ$31,28,FALSE))</f>
        <v>0</v>
      </c>
      <c r="AF22" s="12">
        <f>IF(ISBLANK(VLOOKUP($B22,بحرا!$A$2:$AG$31,29,FALSE)),0,VLOOKUP($B22,بحرا!$A$2:$AG$31,29,FALSE))</f>
        <v>0</v>
      </c>
      <c r="AG22" s="12">
        <f>IF(ISBLANK(VLOOKUP($B22,بحرا!$A$2:$AG$31,30,FALSE)),0,VLOOKUP($B22,بحرا!$A$2:$AG$31,30,FALSE))</f>
        <v>0</v>
      </c>
      <c r="AH22" s="12">
        <f>IF(ISBLANK(VLOOKUP($B22,بحرا!$A$2:$AG$31,31,FALSE)),0,VLOOKUP($B22,بحرا!$A$2:$AG$31,31,FALSE))</f>
        <v>0</v>
      </c>
      <c r="AI22" s="12">
        <f>IF(ISBLANK(VLOOKUP($B22,بحرا!$A$2:$AG$31,32,FALSE)),0,VLOOKUP($B22,بحرا!$A$2:$AG$31,32,FALSE))</f>
        <v>0</v>
      </c>
      <c r="AJ22" s="12">
        <f>IF(ISBLANK(VLOOKUP($B22,بحرا!$A$2:$AJ$31,33,FALSE)),0,VLOOKUP($B22,بحرا!$A$2:$AJ$31,33,FALSE))</f>
        <v>0</v>
      </c>
      <c r="AK22" s="12">
        <f>IF(ISBLANK(VLOOKUP($B22,بحرا!$A$2:$AJ$31,34,FALSE)),0,VLOOKUP($B22,بحرا!$A$2:$AJ$31,34,FALSE))</f>
        <v>0</v>
      </c>
      <c r="AL22" s="12">
        <f>IF(ISBLANK(VLOOKUP($B22,بحرا!$A$2:$AJ$31,35,FALSE)),0,VLOOKUP($B22,بحرا!$A$2:$AJ$31,35,FALSE))</f>
        <v>0</v>
      </c>
      <c r="AM22" s="12">
        <f>IF(ISBLANK(VLOOKUP($B22,بحرا!$A$2:$AJ$31,36,FALSE)),0,VLOOKUP($B22,بحرا!$A$2:$AJ$31,36,FALSE))</f>
        <v>0</v>
      </c>
      <c r="AN22" s="13" t="str">
        <f t="shared" si="0"/>
        <v/>
      </c>
    </row>
    <row r="23" spans="2:40" ht="48" customHeight="1" thickTop="1" thickBot="1">
      <c r="B23" s="10" t="str">
        <f>بحرا!A16</f>
        <v>بنزرت</v>
      </c>
      <c r="C23" s="11" t="str">
        <f>IF(ISBLANK(VLOOKUP($B23,بحرا!$A$2:$AG$31,3,FALSE)),"",VLOOKUP($B23,بحرا!$A$2:$AG$31,3,FALSE))</f>
        <v/>
      </c>
      <c r="D23" s="11" t="str">
        <f>IF(ISBLANK(VLOOKUP($B23,بحرا!$A$2:$AG$31,2,FALSE)),"",VLOOKUP($B23,بحرا!$A$2:$AG$31,2,FALSE))</f>
        <v/>
      </c>
      <c r="E23" s="11" t="str">
        <f>IF(ISBLANK(VLOOKUP($B23,بحرا!$A$2:$AG$31,4,FALSE)),"",VLOOKUP($B23,بحرا!$A$2:$AG$31,4,FALSE))</f>
        <v/>
      </c>
      <c r="F23" s="11" t="str">
        <f>IF(ISBLANK(VLOOKUP($B23,بحرا!$A$2:$AG$31,5,FALSE)),"",VLOOKUP($B23,بحرا!$A$2:$AG$31,5,FALSE))</f>
        <v/>
      </c>
      <c r="G23" s="11" t="str">
        <f>IF(ISBLANK(VLOOKUP($B23,بحرا!$A$2:$AG$31,6,FALSE)),"",VLOOKUP($B23,بحرا!$A$2:$AG$31,6,FALSE))</f>
        <v/>
      </c>
      <c r="H23" s="11" t="str">
        <f>IF(ISBLANK(VLOOKUP($B23,بحرا!$A$2:$AG$31,7,FALSE)),"",VLOOKUP($B23,بحرا!$A$2:$AG$31,7,FALSE))</f>
        <v/>
      </c>
      <c r="I23" s="11" t="str">
        <f>IF(ISBLANK(VLOOKUP($B23,بحرا!$A$2:$AG$31,8,FALSE)),"",VLOOKUP($B23,بحرا!$A$2:$AG$31,8,FALSE))</f>
        <v/>
      </c>
      <c r="J23" s="11" t="str">
        <f>IF(ISBLANK(VLOOKUP($B23,بحرا!$A$2:$AG$31,9,FALSE)),"",VLOOKUP($B23,بحرا!$A$2:$AG$31,9,FALSE))</f>
        <v/>
      </c>
      <c r="K23" s="11" t="str">
        <f>IF(ISBLANK(VLOOKUP($B23,بحرا!$A$2:$AG$31,10,FALSE)),"",VLOOKUP($B23,بحرا!$A$2:$AG$31,10,FALSE))</f>
        <v/>
      </c>
      <c r="L23" s="11" t="str">
        <f>IF(ISBLANK(VLOOKUP($B23,بحرا!$A$2:$AG$31,11,FALSE)),"",VLOOKUP($B23,بحرا!$A$2:$AG$31,11,FALSE))</f>
        <v/>
      </c>
      <c r="M23" s="11" t="str">
        <f>IF(ISBLANK(VLOOKUP($B23,بحرا!$A$2:$AG$31,12,FALSE)),"",VLOOKUP($B23,بحرا!$A$2:$AG$31,12,FALSE))</f>
        <v/>
      </c>
      <c r="N23" s="11" t="str">
        <f>IF(ISBLANK(VLOOKUP($B23,بحرا!$A$2:$AG$31,13,FALSE)),"",VLOOKUP($B23,بحرا!$A$2:$AG$31,13,FALSE))</f>
        <v/>
      </c>
      <c r="O23" s="11" t="str">
        <f>IF(ISBLANK(VLOOKUP($B23,بحرا!$A$2:$AG$31,14,FALSE)),"",VLOOKUP($B23,بحرا!$A$2:$AG$31,14,FALSE))</f>
        <v/>
      </c>
      <c r="P23" s="11" t="str">
        <f>IF(ISBLANK(VLOOKUP($B23,بحرا!$A$2:$AG$31,15,FALSE)),"",VLOOKUP($B23,بحرا!$A$2:$AG$31,15,FALSE))</f>
        <v/>
      </c>
      <c r="Q23" s="11" t="str">
        <f>IF(ISBLANK(VLOOKUP($B23,بحرا!$A$2:$AG$31,16,FALSE)),"",VLOOKUP($B23,بحرا!$A$2:$AG$31,16,FALSE))</f>
        <v/>
      </c>
      <c r="R23" s="15"/>
      <c r="S23" s="11" t="str">
        <f>IF(ISBLANK(VLOOKUP($B23,بحرا!$A$2:$AG$31,17,FALSE)),"",VLOOKUP($B23,بحرا!$A$2:$AG$31,17,FALSE))</f>
        <v/>
      </c>
      <c r="T23" s="15"/>
      <c r="U23" s="11" t="str">
        <f>IF(ISBLANK(VLOOKUP($B23,بحرا!$A$2:$AG$31,18,FALSE)),"",VLOOKUP($B23,بحرا!$A$2:$AG$31,18,FALSE))</f>
        <v/>
      </c>
      <c r="V23" s="11" t="str">
        <f>IF(ISBLANK(VLOOKUP($B23,بحرا!$A$2:$AG$31,19,FALSE)),"",VLOOKUP($B23,بحرا!$A$2:$AG$31,19,FALSE))</f>
        <v/>
      </c>
      <c r="W23" s="11" t="str">
        <f>IF(ISBLANK(VLOOKUP($B23,بحرا!$A$2:$AG$31,20,FALSE)),"",VLOOKUP($B23,بحرا!$A$2:$AG$31,20,FALSE))</f>
        <v/>
      </c>
      <c r="X23" s="12">
        <f>IF(ISBLANK(VLOOKUP($B23,بحرا!$A$2:$AG$31,21,FALSE)),0,VLOOKUP($B23,بحرا!$A$2:$AG$31,21,FALSE))</f>
        <v>0</v>
      </c>
      <c r="Y23" s="12">
        <f>IF(ISBLANK(VLOOKUP($B23,بحرا!$A$2:$AG$31,22,FALSE)),0,VLOOKUP($B23,بحرا!$A$2:$AG$31,22,FALSE))</f>
        <v>0</v>
      </c>
      <c r="Z23" s="12">
        <f>IF(ISBLANK(VLOOKUP($B23,بحرا!$A$2:$AG$31,23,FALSE)),0,VLOOKUP($B23,بحرا!$A$2:$AG$31,23,FALSE))</f>
        <v>0</v>
      </c>
      <c r="AA23" s="12">
        <f>IF(ISBLANK(VLOOKUP($B23,بحرا!$A$2:$AG$31,24,FALSE)),0,VLOOKUP($B23,بحرا!$A$2:$AG$31,24,FALSE))</f>
        <v>0</v>
      </c>
      <c r="AB23" s="12">
        <f>IF(ISBLANK(VLOOKUP($B23,بحرا!$A$2:$AG$31,25,FALSE)),0,VLOOKUP($B23,بحرا!$A$2:$AG$31,25,FALSE))</f>
        <v>0</v>
      </c>
      <c r="AC23" s="12">
        <f>IF(ISBLANK(VLOOKUP($B23,بحرا!$A$2:$AG$31,26,FALSE)),0,VLOOKUP($B23,بحرا!$A$2:$AG$31,26,FALSE))</f>
        <v>0</v>
      </c>
      <c r="AD23" s="12">
        <f>IF(ISBLANK(VLOOKUP($B23,بحرا!$A$2:$AJ$31,27,FALSE)),0,VLOOKUP($B23,بحرا!$A$2:$AJ$31,27,FALSE))</f>
        <v>0</v>
      </c>
      <c r="AE23" s="12">
        <f>IF(ISBLANK(VLOOKUP($B23,بحرا!$A$2:$AJ$31,28,FALSE)),0,VLOOKUP($B23,بحرا!$A$2:$AJ$31,28,FALSE))</f>
        <v>0</v>
      </c>
      <c r="AF23" s="12">
        <f>IF(ISBLANK(VLOOKUP($B23,بحرا!$A$2:$AG$31,29,FALSE)),0,VLOOKUP($B23,بحرا!$A$2:$AG$31,29,FALSE))</f>
        <v>0</v>
      </c>
      <c r="AG23" s="12">
        <f>IF(ISBLANK(VLOOKUP($B23,بحرا!$A$2:$AG$31,30,FALSE)),0,VLOOKUP($B23,بحرا!$A$2:$AG$31,30,FALSE))</f>
        <v>0</v>
      </c>
      <c r="AH23" s="12">
        <f>IF(ISBLANK(VLOOKUP($B23,بحرا!$A$2:$AG$31,31,FALSE)),0,VLOOKUP($B23,بحرا!$A$2:$AG$31,31,FALSE))</f>
        <v>0</v>
      </c>
      <c r="AI23" s="12">
        <f>IF(ISBLANK(VLOOKUP($B23,بحرا!$A$2:$AG$31,32,FALSE)),0,VLOOKUP($B23,بحرا!$A$2:$AG$31,32,FALSE))</f>
        <v>0</v>
      </c>
      <c r="AJ23" s="12">
        <f>IF(ISBLANK(VLOOKUP($B23,بحرا!$A$2:$AJ$31,33,FALSE)),0,VLOOKUP($B23,بحرا!$A$2:$AJ$31,33,FALSE))</f>
        <v>0</v>
      </c>
      <c r="AK23" s="12">
        <f>IF(ISBLANK(VLOOKUP($B23,بحرا!$A$2:$AJ$31,34,FALSE)),0,VLOOKUP($B23,بحرا!$A$2:$AJ$31,34,FALSE))</f>
        <v>0</v>
      </c>
      <c r="AL23" s="12">
        <f>IF(ISBLANK(VLOOKUP($B23,بحرا!$A$2:$AJ$31,35,FALSE)),0,VLOOKUP($B23,بحرا!$A$2:$AJ$31,35,FALSE))</f>
        <v>0</v>
      </c>
      <c r="AM23" s="12">
        <f>IF(ISBLANK(VLOOKUP($B23,بحرا!$A$2:$AJ$31,36,FALSE)),0,VLOOKUP($B23,بحرا!$A$2:$AJ$31,36,FALSE))</f>
        <v>0</v>
      </c>
      <c r="AN23" s="13" t="str">
        <f t="shared" si="0"/>
        <v/>
      </c>
    </row>
    <row r="24" spans="2:40" ht="48" customHeight="1" thickTop="1" thickBot="1">
      <c r="B24" s="10" t="str">
        <f>بحرا!A17</f>
        <v>بن عروس</v>
      </c>
      <c r="C24" s="11" t="str">
        <f>IF(ISBLANK(VLOOKUP($B24,بحرا!$A$2:$AG$31,3,FALSE)),"",VLOOKUP($B24,بحرا!$A$2:$AG$31,3,FALSE))</f>
        <v/>
      </c>
      <c r="D24" s="11" t="str">
        <f>IF(ISBLANK(VLOOKUP($B24,بحرا!$A$2:$AG$31,2,FALSE)),"",VLOOKUP($B24,بحرا!$A$2:$AG$31,2,FALSE))</f>
        <v/>
      </c>
      <c r="E24" s="11" t="str">
        <f>IF(ISBLANK(VLOOKUP($B24,بحرا!$A$2:$AG$31,4,FALSE)),"",VLOOKUP($B24,بحرا!$A$2:$AG$31,4,FALSE))</f>
        <v/>
      </c>
      <c r="F24" s="11" t="str">
        <f>IF(ISBLANK(VLOOKUP($B24,بحرا!$A$2:$AG$31,5,FALSE)),"",VLOOKUP($B24,بحرا!$A$2:$AG$31,5,FALSE))</f>
        <v/>
      </c>
      <c r="G24" s="11" t="str">
        <f>IF(ISBLANK(VLOOKUP($B24,بحرا!$A$2:$AG$31,6,FALSE)),"",VLOOKUP($B24,بحرا!$A$2:$AG$31,6,FALSE))</f>
        <v/>
      </c>
      <c r="H24" s="11" t="str">
        <f>IF(ISBLANK(VLOOKUP($B24,بحرا!$A$2:$AG$31,7,FALSE)),"",VLOOKUP($B24,بحرا!$A$2:$AG$31,7,FALSE))</f>
        <v/>
      </c>
      <c r="I24" s="11" t="str">
        <f>IF(ISBLANK(VLOOKUP($B24,بحرا!$A$2:$AG$31,8,FALSE)),"",VLOOKUP($B24,بحرا!$A$2:$AG$31,8,FALSE))</f>
        <v/>
      </c>
      <c r="J24" s="11" t="str">
        <f>IF(ISBLANK(VLOOKUP($B24,بحرا!$A$2:$AG$31,9,FALSE)),"",VLOOKUP($B24,بحرا!$A$2:$AG$31,9,FALSE))</f>
        <v/>
      </c>
      <c r="K24" s="11" t="str">
        <f>IF(ISBLANK(VLOOKUP($B24,بحرا!$A$2:$AG$31,10,FALSE)),"",VLOOKUP($B24,بحرا!$A$2:$AG$31,10,FALSE))</f>
        <v/>
      </c>
      <c r="L24" s="11" t="str">
        <f>IF(ISBLANK(VLOOKUP($B24,بحرا!$A$2:$AG$31,11,FALSE)),"",VLOOKUP($B24,بحرا!$A$2:$AG$31,11,FALSE))</f>
        <v/>
      </c>
      <c r="M24" s="11" t="str">
        <f>IF(ISBLANK(VLOOKUP($B24,بحرا!$A$2:$AG$31,12,FALSE)),"",VLOOKUP($B24,بحرا!$A$2:$AG$31,12,FALSE))</f>
        <v/>
      </c>
      <c r="N24" s="11" t="str">
        <f>IF(ISBLANK(VLOOKUP($B24,بحرا!$A$2:$AG$31,13,FALSE)),"",VLOOKUP($B24,بحرا!$A$2:$AG$31,13,FALSE))</f>
        <v/>
      </c>
      <c r="O24" s="11" t="str">
        <f>IF(ISBLANK(VLOOKUP($B24,بحرا!$A$2:$AG$31,14,FALSE)),"",VLOOKUP($B24,بحرا!$A$2:$AG$31,14,FALSE))</f>
        <v/>
      </c>
      <c r="P24" s="11" t="str">
        <f>IF(ISBLANK(VLOOKUP($B24,بحرا!$A$2:$AG$31,15,FALSE)),"",VLOOKUP($B24,بحرا!$A$2:$AG$31,15,FALSE))</f>
        <v/>
      </c>
      <c r="Q24" s="11" t="str">
        <f>IF(ISBLANK(VLOOKUP($B24,بحرا!$A$2:$AG$31,16,FALSE)),"",VLOOKUP($B24,بحرا!$A$2:$AG$31,16,FALSE))</f>
        <v/>
      </c>
      <c r="R24" s="15"/>
      <c r="S24" s="11" t="str">
        <f>IF(ISBLANK(VLOOKUP($B24,بحرا!$A$2:$AG$31,17,FALSE)),"",VLOOKUP($B24,بحرا!$A$2:$AG$31,17,FALSE))</f>
        <v/>
      </c>
      <c r="T24" s="15"/>
      <c r="U24" s="11" t="str">
        <f>IF(ISBLANK(VLOOKUP($B24,بحرا!$A$2:$AG$31,18,FALSE)),"",VLOOKUP($B24,بحرا!$A$2:$AG$31,18,FALSE))</f>
        <v/>
      </c>
      <c r="V24" s="11" t="str">
        <f>IF(ISBLANK(VLOOKUP($B24,بحرا!$A$2:$AG$31,19,FALSE)),"",VLOOKUP($B24,بحرا!$A$2:$AG$31,19,FALSE))</f>
        <v/>
      </c>
      <c r="W24" s="11" t="str">
        <f>IF(ISBLANK(VLOOKUP($B24,بحرا!$A$2:$AG$31,20,FALSE)),"",VLOOKUP($B24,بحرا!$A$2:$AG$31,20,FALSE))</f>
        <v/>
      </c>
      <c r="X24" s="12">
        <f>IF(ISBLANK(VLOOKUP($B24,بحرا!$A$2:$AG$31,21,FALSE)),0,VLOOKUP($B24,بحرا!$A$2:$AG$31,21,FALSE))</f>
        <v>0</v>
      </c>
      <c r="Y24" s="12">
        <f>IF(ISBLANK(VLOOKUP($B24,بحرا!$A$2:$AG$31,22,FALSE)),0,VLOOKUP($B24,بحرا!$A$2:$AG$31,22,FALSE))</f>
        <v>0</v>
      </c>
      <c r="Z24" s="12">
        <f>IF(ISBLANK(VLOOKUP($B24,بحرا!$A$2:$AG$31,23,FALSE)),0,VLOOKUP($B24,بحرا!$A$2:$AG$31,23,FALSE))</f>
        <v>0</v>
      </c>
      <c r="AA24" s="12">
        <f>IF(ISBLANK(VLOOKUP($B24,بحرا!$A$2:$AG$31,24,FALSE)),0,VLOOKUP($B24,بحرا!$A$2:$AG$31,24,FALSE))</f>
        <v>0</v>
      </c>
      <c r="AB24" s="12">
        <f>IF(ISBLANK(VLOOKUP($B24,بحرا!$A$2:$AG$31,25,FALSE)),0,VLOOKUP($B24,بحرا!$A$2:$AG$31,25,FALSE))</f>
        <v>0</v>
      </c>
      <c r="AC24" s="12">
        <f>IF(ISBLANK(VLOOKUP($B24,بحرا!$A$2:$AG$31,26,FALSE)),0,VLOOKUP($B24,بحرا!$A$2:$AG$31,26,FALSE))</f>
        <v>0</v>
      </c>
      <c r="AD24" s="12">
        <f>IF(ISBLANK(VLOOKUP($B24,بحرا!$A$2:$AJ$31,27,FALSE)),0,VLOOKUP($B24,بحرا!$A$2:$AJ$31,27,FALSE))</f>
        <v>0</v>
      </c>
      <c r="AE24" s="12">
        <f>IF(ISBLANK(VLOOKUP($B24,بحرا!$A$2:$AJ$31,28,FALSE)),0,VLOOKUP($B24,بحرا!$A$2:$AJ$31,28,FALSE))</f>
        <v>0</v>
      </c>
      <c r="AF24" s="12">
        <f>IF(ISBLANK(VLOOKUP($B24,بحرا!$A$2:$AG$31,29,FALSE)),0,VLOOKUP($B24,بحرا!$A$2:$AG$31,29,FALSE))</f>
        <v>0</v>
      </c>
      <c r="AG24" s="12">
        <f>IF(ISBLANK(VLOOKUP($B24,بحرا!$A$2:$AG$31,30,FALSE)),0,VLOOKUP($B24,بحرا!$A$2:$AG$31,30,FALSE))</f>
        <v>0</v>
      </c>
      <c r="AH24" s="12">
        <f>IF(ISBLANK(VLOOKUP($B24,بحرا!$A$2:$AG$31,31,FALSE)),0,VLOOKUP($B24,بحرا!$A$2:$AG$31,31,FALSE))</f>
        <v>0</v>
      </c>
      <c r="AI24" s="12">
        <f>IF(ISBLANK(VLOOKUP($B24,بحرا!$A$2:$AG$31,32,FALSE)),0,VLOOKUP($B24,بحرا!$A$2:$AG$31,32,FALSE))</f>
        <v>0</v>
      </c>
      <c r="AJ24" s="12">
        <f>IF(ISBLANK(VLOOKUP($B24,بحرا!$A$2:$AJ$31,33,FALSE)),0,VLOOKUP($B24,بحرا!$A$2:$AJ$31,33,FALSE))</f>
        <v>0</v>
      </c>
      <c r="AK24" s="12">
        <f>IF(ISBLANK(VLOOKUP($B24,بحرا!$A$2:$AJ$31,34,FALSE)),0,VLOOKUP($B24,بحرا!$A$2:$AJ$31,34,FALSE))</f>
        <v>0</v>
      </c>
      <c r="AL24" s="12">
        <f>IF(ISBLANK(VLOOKUP($B24,بحرا!$A$2:$AJ$31,35,FALSE)),0,VLOOKUP($B24,بحرا!$A$2:$AJ$31,35,FALSE))</f>
        <v>0</v>
      </c>
      <c r="AM24" s="12">
        <f>IF(ISBLANK(VLOOKUP($B24,بحرا!$A$2:$AJ$31,36,FALSE)),0,VLOOKUP($B24,بحرا!$A$2:$AJ$31,36,FALSE))</f>
        <v>0</v>
      </c>
      <c r="AN24" s="13" t="str">
        <f t="shared" si="0"/>
        <v/>
      </c>
    </row>
    <row r="25" spans="2:40" ht="48" customHeight="1" thickTop="1" thickBot="1">
      <c r="B25" s="10" t="str">
        <f>بحرا!A18</f>
        <v>باجة</v>
      </c>
      <c r="C25" s="11" t="str">
        <f>IF(ISBLANK(VLOOKUP($B25,بحرا!$A$2:$AG$31,3,FALSE)),"",VLOOKUP($B25,بحرا!$A$2:$AG$31,3,FALSE))</f>
        <v/>
      </c>
      <c r="D25" s="11" t="str">
        <f>IF(ISBLANK(VLOOKUP($B25,بحرا!$A$2:$AG$31,2,FALSE)),"",VLOOKUP($B25,بحرا!$A$2:$AG$31,2,FALSE))</f>
        <v/>
      </c>
      <c r="E25" s="11" t="str">
        <f>IF(ISBLANK(VLOOKUP($B25,بحرا!$A$2:$AG$31,4,FALSE)),"",VLOOKUP($B25,بحرا!$A$2:$AG$31,4,FALSE))</f>
        <v/>
      </c>
      <c r="F25" s="11" t="str">
        <f>IF(ISBLANK(VLOOKUP($B25,بحرا!$A$2:$AG$31,5,FALSE)),"",VLOOKUP($B25,بحرا!$A$2:$AG$31,5,FALSE))</f>
        <v/>
      </c>
      <c r="G25" s="11" t="str">
        <f>IF(ISBLANK(VLOOKUP($B25,بحرا!$A$2:$AG$31,6,FALSE)),"",VLOOKUP($B25,بحرا!$A$2:$AG$31,6,FALSE))</f>
        <v/>
      </c>
      <c r="H25" s="11" t="str">
        <f>IF(ISBLANK(VLOOKUP($B25,بحرا!$A$2:$AG$31,7,FALSE)),"",VLOOKUP($B25,بحرا!$A$2:$AG$31,7,FALSE))</f>
        <v/>
      </c>
      <c r="I25" s="11" t="str">
        <f>IF(ISBLANK(VLOOKUP($B25,بحرا!$A$2:$AG$31,8,FALSE)),"",VLOOKUP($B25,بحرا!$A$2:$AG$31,8,FALSE))</f>
        <v/>
      </c>
      <c r="J25" s="11" t="str">
        <f>IF(ISBLANK(VLOOKUP($B25,بحرا!$A$2:$AG$31,9,FALSE)),"",VLOOKUP($B25,بحرا!$A$2:$AG$31,9,FALSE))</f>
        <v/>
      </c>
      <c r="K25" s="11" t="str">
        <f>IF(ISBLANK(VLOOKUP($B25,بحرا!$A$2:$AG$31,10,FALSE)),"",VLOOKUP($B25,بحرا!$A$2:$AG$31,10,FALSE))</f>
        <v/>
      </c>
      <c r="L25" s="11" t="str">
        <f>IF(ISBLANK(VLOOKUP($B25,بحرا!$A$2:$AG$31,11,FALSE)),"",VLOOKUP($B25,بحرا!$A$2:$AG$31,11,FALSE))</f>
        <v/>
      </c>
      <c r="M25" s="11" t="str">
        <f>IF(ISBLANK(VLOOKUP($B25,بحرا!$A$2:$AG$31,12,FALSE)),"",VLOOKUP($B25,بحرا!$A$2:$AG$31,12,FALSE))</f>
        <v/>
      </c>
      <c r="N25" s="11" t="str">
        <f>IF(ISBLANK(VLOOKUP($B25,بحرا!$A$2:$AG$31,13,FALSE)),"",VLOOKUP($B25,بحرا!$A$2:$AG$31,13,FALSE))</f>
        <v/>
      </c>
      <c r="O25" s="11" t="str">
        <f>IF(ISBLANK(VLOOKUP($B25,بحرا!$A$2:$AG$31,14,FALSE)),"",VLOOKUP($B25,بحرا!$A$2:$AG$31,14,FALSE))</f>
        <v/>
      </c>
      <c r="P25" s="11" t="str">
        <f>IF(ISBLANK(VLOOKUP($B25,بحرا!$A$2:$AG$31,15,FALSE)),"",VLOOKUP($B25,بحرا!$A$2:$AG$31,15,FALSE))</f>
        <v/>
      </c>
      <c r="Q25" s="11" t="str">
        <f>IF(ISBLANK(VLOOKUP($B25,بحرا!$A$2:$AG$31,16,FALSE)),"",VLOOKUP($B25,بحرا!$A$2:$AG$31,16,FALSE))</f>
        <v/>
      </c>
      <c r="R25" s="15"/>
      <c r="S25" s="11" t="str">
        <f>IF(ISBLANK(VLOOKUP($B25,بحرا!$A$2:$AG$31,17,FALSE)),"",VLOOKUP($B25,بحرا!$A$2:$AG$31,17,FALSE))</f>
        <v/>
      </c>
      <c r="T25" s="15"/>
      <c r="U25" s="11" t="str">
        <f>IF(ISBLANK(VLOOKUP($B25,بحرا!$A$2:$AG$31,18,FALSE)),"",VLOOKUP($B25,بحرا!$A$2:$AG$31,18,FALSE))</f>
        <v/>
      </c>
      <c r="V25" s="11" t="str">
        <f>IF(ISBLANK(VLOOKUP($B25,بحرا!$A$2:$AG$31,19,FALSE)),"",VLOOKUP($B25,بحرا!$A$2:$AG$31,19,FALSE))</f>
        <v/>
      </c>
      <c r="W25" s="11" t="str">
        <f>IF(ISBLANK(VLOOKUP($B25,بحرا!$A$2:$AG$31,20,FALSE)),"",VLOOKUP($B25,بحرا!$A$2:$AG$31,20,FALSE))</f>
        <v/>
      </c>
      <c r="X25" s="12">
        <f>IF(ISBLANK(VLOOKUP($B25,بحرا!$A$2:$AG$31,21,FALSE)),0,VLOOKUP($B25,بحرا!$A$2:$AG$31,21,FALSE))</f>
        <v>0</v>
      </c>
      <c r="Y25" s="12">
        <f>IF(ISBLANK(VLOOKUP($B25,بحرا!$A$2:$AG$31,22,FALSE)),0,VLOOKUP($B25,بحرا!$A$2:$AG$31,22,FALSE))</f>
        <v>0</v>
      </c>
      <c r="Z25" s="12">
        <f>IF(ISBLANK(VLOOKUP($B25,بحرا!$A$2:$AG$31,23,FALSE)),0,VLOOKUP($B25,بحرا!$A$2:$AG$31,23,FALSE))</f>
        <v>0</v>
      </c>
      <c r="AA25" s="12">
        <f>IF(ISBLANK(VLOOKUP($B25,بحرا!$A$2:$AG$31,24,FALSE)),0,VLOOKUP($B25,بحرا!$A$2:$AG$31,24,FALSE))</f>
        <v>0</v>
      </c>
      <c r="AB25" s="12">
        <f>IF(ISBLANK(VLOOKUP($B25,بحرا!$A$2:$AG$31,25,FALSE)),0,VLOOKUP($B25,بحرا!$A$2:$AG$31,25,FALSE))</f>
        <v>0</v>
      </c>
      <c r="AC25" s="12">
        <f>IF(ISBLANK(VLOOKUP($B25,بحرا!$A$2:$AG$31,26,FALSE)),0,VLOOKUP($B25,بحرا!$A$2:$AG$31,26,FALSE))</f>
        <v>0</v>
      </c>
      <c r="AD25" s="12">
        <f>IF(ISBLANK(VLOOKUP($B25,بحرا!$A$2:$AJ$31,27,FALSE)),0,VLOOKUP($B25,بحرا!$A$2:$AJ$31,27,FALSE))</f>
        <v>0</v>
      </c>
      <c r="AE25" s="12">
        <f>IF(ISBLANK(VLOOKUP($B25,بحرا!$A$2:$AJ$31,28,FALSE)),0,VLOOKUP($B25,بحرا!$A$2:$AJ$31,28,FALSE))</f>
        <v>0</v>
      </c>
      <c r="AF25" s="12">
        <f>IF(ISBLANK(VLOOKUP($B25,بحرا!$A$2:$AG$31,29,FALSE)),0,VLOOKUP($B25,بحرا!$A$2:$AG$31,29,FALSE))</f>
        <v>0</v>
      </c>
      <c r="AG25" s="12">
        <f>IF(ISBLANK(VLOOKUP($B25,بحرا!$A$2:$AG$31,30,FALSE)),0,VLOOKUP($B25,بحرا!$A$2:$AG$31,30,FALSE))</f>
        <v>0</v>
      </c>
      <c r="AH25" s="12">
        <f>IF(ISBLANK(VLOOKUP($B25,بحرا!$A$2:$AG$31,31,FALSE)),0,VLOOKUP($B25,بحرا!$A$2:$AG$31,31,FALSE))</f>
        <v>0</v>
      </c>
      <c r="AI25" s="12">
        <f>IF(ISBLANK(VLOOKUP($B25,بحرا!$A$2:$AG$31,32,FALSE)),0,VLOOKUP($B25,بحرا!$A$2:$AG$31,32,FALSE))</f>
        <v>0</v>
      </c>
      <c r="AJ25" s="12">
        <f>IF(ISBLANK(VLOOKUP($B25,بحرا!$A$2:$AJ$31,33,FALSE)),0,VLOOKUP($B25,بحرا!$A$2:$AJ$31,33,FALSE))</f>
        <v>0</v>
      </c>
      <c r="AK25" s="12">
        <f>IF(ISBLANK(VLOOKUP($B25,بحرا!$A$2:$AJ$31,34,FALSE)),0,VLOOKUP($B25,بحرا!$A$2:$AJ$31,34,FALSE))</f>
        <v>0</v>
      </c>
      <c r="AL25" s="12">
        <f>IF(ISBLANK(VLOOKUP($B25,بحرا!$A$2:$AJ$31,35,FALSE)),0,VLOOKUP($B25,بحرا!$A$2:$AJ$31,35,FALSE))</f>
        <v>0</v>
      </c>
      <c r="AM25" s="12">
        <f>IF(ISBLANK(VLOOKUP($B25,بحرا!$A$2:$AJ$31,36,FALSE)),0,VLOOKUP($B25,بحرا!$A$2:$AJ$31,36,FALSE))</f>
        <v>0</v>
      </c>
      <c r="AN25" s="13" t="str">
        <f t="shared" si="0"/>
        <v/>
      </c>
    </row>
    <row r="26" spans="2:40" ht="75" customHeight="1" thickTop="1" thickBot="1">
      <c r="B26" s="10" t="str">
        <f>بحرا!A19</f>
        <v>المهدية</v>
      </c>
      <c r="C26" s="11" t="str">
        <f>IF(ISBLANK(VLOOKUP($B26,بحرا!$A$2:$AG$31,3,FALSE)),"",VLOOKUP($B26,بحرا!$A$2:$AG$31,3,FALSE))</f>
        <v/>
      </c>
      <c r="D26" s="11" t="str">
        <f>IF(ISBLANK(VLOOKUP($B26,بحرا!$A$2:$AG$31,2,FALSE)),"",VLOOKUP($B26,بحرا!$A$2:$AG$31,2,FALSE))</f>
        <v/>
      </c>
      <c r="E26" s="11" t="str">
        <f>IF(ISBLANK(VLOOKUP($B26,بحرا!$A$2:$AG$31,4,FALSE)),"",VLOOKUP($B26,بحرا!$A$2:$AG$31,4,FALSE))</f>
        <v/>
      </c>
      <c r="F26" s="11" t="str">
        <f>IF(ISBLANK(VLOOKUP($B26,بحرا!$A$2:$AG$31,5,FALSE)),"",VLOOKUP($B26,بحرا!$A$2:$AG$31,5,FALSE))</f>
        <v/>
      </c>
      <c r="G26" s="11" t="str">
        <f>IF(ISBLANK(VLOOKUP($B26,بحرا!$A$2:$AG$31,6,FALSE)),"",VLOOKUP($B26,بحرا!$A$2:$AG$31,6,FALSE))</f>
        <v/>
      </c>
      <c r="H26" s="11" t="str">
        <f>IF(ISBLANK(VLOOKUP($B26,بحرا!$A$2:$AG$31,7,FALSE)),"",VLOOKUP($B26,بحرا!$A$2:$AG$31,7,FALSE))</f>
        <v/>
      </c>
      <c r="I26" s="11" t="str">
        <f>IF(ISBLANK(VLOOKUP($B26,بحرا!$A$2:$AG$31,8,FALSE)),"",VLOOKUP($B26,بحرا!$A$2:$AG$31,8,FALSE))</f>
        <v/>
      </c>
      <c r="J26" s="11" t="str">
        <f>IF(ISBLANK(VLOOKUP($B26,بحرا!$A$2:$AG$31,9,FALSE)),"",VLOOKUP($B26,بحرا!$A$2:$AG$31,9,FALSE))</f>
        <v/>
      </c>
      <c r="K26" s="11" t="str">
        <f>IF(ISBLANK(VLOOKUP($B26,بحرا!$A$2:$AG$31,10,FALSE)),"",VLOOKUP($B26,بحرا!$A$2:$AG$31,10,FALSE))</f>
        <v/>
      </c>
      <c r="L26" s="11" t="str">
        <f>IF(ISBLANK(VLOOKUP($B26,بحرا!$A$2:$AG$31,11,FALSE)),"",VLOOKUP($B26,بحرا!$A$2:$AG$31,11,FALSE))</f>
        <v/>
      </c>
      <c r="M26" s="11" t="str">
        <f>IF(ISBLANK(VLOOKUP($B26,بحرا!$A$2:$AG$31,12,FALSE)),"",VLOOKUP($B26,بحرا!$A$2:$AG$31,12,FALSE))</f>
        <v/>
      </c>
      <c r="N26" s="11" t="str">
        <f>IF(ISBLANK(VLOOKUP($B26,بحرا!$A$2:$AG$31,13,FALSE)),"",VLOOKUP($B26,بحرا!$A$2:$AG$31,13,FALSE))</f>
        <v/>
      </c>
      <c r="O26" s="11" t="str">
        <f>IF(ISBLANK(VLOOKUP($B26,بحرا!$A$2:$AG$31,14,FALSE)),"",VLOOKUP($B26,بحرا!$A$2:$AG$31,14,FALSE))</f>
        <v/>
      </c>
      <c r="P26" s="11" t="str">
        <f>IF(ISBLANK(VLOOKUP($B26,بحرا!$A$2:$AG$31,15,FALSE)),"",VLOOKUP($B26,بحرا!$A$2:$AG$31,15,FALSE))</f>
        <v/>
      </c>
      <c r="Q26" s="11" t="str">
        <f>IF(ISBLANK(VLOOKUP($B26,بحرا!$A$2:$AG$31,16,FALSE)),"",VLOOKUP($B26,بحرا!$A$2:$AG$31,16,FALSE))</f>
        <v/>
      </c>
      <c r="R26" s="15"/>
      <c r="S26" s="11" t="str">
        <f>IF(ISBLANK(VLOOKUP($B26,بحرا!$A$2:$AG$31,17,FALSE)),"",VLOOKUP($B26,بحرا!$A$2:$AG$31,17,FALSE))</f>
        <v/>
      </c>
      <c r="T26" s="15"/>
      <c r="U26" s="11" t="str">
        <f>IF(ISBLANK(VLOOKUP($B26,بحرا!$A$2:$AG$31,18,FALSE)),"",VLOOKUP($B26,بحرا!$A$2:$AG$31,18,FALSE))</f>
        <v/>
      </c>
      <c r="V26" s="11" t="str">
        <f>IF(ISBLANK(VLOOKUP($B26,بحرا!$A$2:$AG$31,19,FALSE)),"",VLOOKUP($B26,بحرا!$A$2:$AG$31,19,FALSE))</f>
        <v/>
      </c>
      <c r="W26" s="11" t="str">
        <f>IF(ISBLANK(VLOOKUP($B26,بحرا!$A$2:$AG$31,20,FALSE)),"",VLOOKUP($B26,بحرا!$A$2:$AG$31,20,FALSE))</f>
        <v/>
      </c>
      <c r="X26" s="12">
        <f>IF(ISBLANK(VLOOKUP($B26,بحرا!$A$2:$AG$31,21,FALSE)),0,VLOOKUP($B26,بحرا!$A$2:$AG$31,21,FALSE))</f>
        <v>0</v>
      </c>
      <c r="Y26" s="12">
        <f>IF(ISBLANK(VLOOKUP($B26,بحرا!$A$2:$AG$31,22,FALSE)),0,VLOOKUP($B26,بحرا!$A$2:$AG$31,22,FALSE))</f>
        <v>0</v>
      </c>
      <c r="Z26" s="12">
        <f>IF(ISBLANK(VLOOKUP($B26,بحرا!$A$2:$AG$31,23,FALSE)),0,VLOOKUP($B26,بحرا!$A$2:$AG$31,23,FALSE))</f>
        <v>0</v>
      </c>
      <c r="AA26" s="12">
        <f>IF(ISBLANK(VLOOKUP($B26,بحرا!$A$2:$AG$31,24,FALSE)),0,VLOOKUP($B26,بحرا!$A$2:$AG$31,24,FALSE))</f>
        <v>0</v>
      </c>
      <c r="AB26" s="12">
        <f>IF(ISBLANK(VLOOKUP($B26,بحرا!$A$2:$AG$31,25,FALSE)),0,VLOOKUP($B26,بحرا!$A$2:$AG$31,25,FALSE))</f>
        <v>0</v>
      </c>
      <c r="AC26" s="12">
        <f>IF(ISBLANK(VLOOKUP($B26,بحرا!$A$2:$AG$31,26,FALSE)),0,VLOOKUP($B26,بحرا!$A$2:$AG$31,26,FALSE))</f>
        <v>0</v>
      </c>
      <c r="AD26" s="12">
        <f>IF(ISBLANK(VLOOKUP($B26,بحرا!$A$2:$AJ$31,27,FALSE)),0,VLOOKUP($B26,بحرا!$A$2:$AJ$31,27,FALSE))</f>
        <v>0</v>
      </c>
      <c r="AE26" s="12">
        <f>IF(ISBLANK(VLOOKUP($B26,بحرا!$A$2:$AJ$31,28,FALSE)),0,VLOOKUP($B26,بحرا!$A$2:$AJ$31,28,FALSE))</f>
        <v>0</v>
      </c>
      <c r="AF26" s="12">
        <f>IF(ISBLANK(VLOOKUP($B26,بحرا!$A$2:$AG$31,29,FALSE)),0,VLOOKUP($B26,بحرا!$A$2:$AG$31,29,FALSE))</f>
        <v>0</v>
      </c>
      <c r="AG26" s="12">
        <f>IF(ISBLANK(VLOOKUP($B26,بحرا!$A$2:$AG$31,30,FALSE)),0,VLOOKUP($B26,بحرا!$A$2:$AG$31,30,FALSE))</f>
        <v>0</v>
      </c>
      <c r="AH26" s="12">
        <f>IF(ISBLANK(VLOOKUP($B26,بحرا!$A$2:$AG$31,31,FALSE)),0,VLOOKUP($B26,بحرا!$A$2:$AG$31,31,FALSE))</f>
        <v>0</v>
      </c>
      <c r="AI26" s="12">
        <f>IF(ISBLANK(VLOOKUP($B26,بحرا!$A$2:$AG$31,32,FALSE)),0,VLOOKUP($B26,بحرا!$A$2:$AG$31,32,FALSE))</f>
        <v>0</v>
      </c>
      <c r="AJ26" s="12">
        <f>IF(ISBLANK(VLOOKUP($B26,بحرا!$A$2:$AJ$31,33,FALSE)),0,VLOOKUP($B26,بحرا!$A$2:$AJ$31,33,FALSE))</f>
        <v>0</v>
      </c>
      <c r="AK26" s="12">
        <f>IF(ISBLANK(VLOOKUP($B26,بحرا!$A$2:$AJ$31,34,FALSE)),0,VLOOKUP($B26,بحرا!$A$2:$AJ$31,34,FALSE))</f>
        <v>0</v>
      </c>
      <c r="AL26" s="12">
        <f>IF(ISBLANK(VLOOKUP($B26,بحرا!$A$2:$AJ$31,35,FALSE)),0,VLOOKUP($B26,بحرا!$A$2:$AJ$31,35,FALSE))</f>
        <v>0</v>
      </c>
      <c r="AM26" s="12">
        <f>IF(ISBLANK(VLOOKUP($B26,بحرا!$A$2:$AJ$31,36,FALSE)),0,VLOOKUP($B26,بحرا!$A$2:$AJ$31,36,FALSE))</f>
        <v>0</v>
      </c>
      <c r="AN26" s="13" t="str">
        <f t="shared" si="0"/>
        <v/>
      </c>
    </row>
    <row r="27" spans="2:40" ht="48" customHeight="1" thickTop="1" thickBot="1">
      <c r="B27" s="10" t="str">
        <f>بحرا!A20</f>
        <v>المنستير</v>
      </c>
      <c r="C27" s="11" t="str">
        <f>IF(ISBLANK(VLOOKUP($B27,بحرا!$A$2:$AG$31,3,FALSE)),"",VLOOKUP($B27,بحرا!$A$2:$AG$31,3,FALSE))</f>
        <v/>
      </c>
      <c r="D27" s="11" t="str">
        <f>IF(ISBLANK(VLOOKUP($B27,بحرا!$A$2:$AG$31,2,FALSE)),"",VLOOKUP($B27,بحرا!$A$2:$AG$31,2,FALSE))</f>
        <v/>
      </c>
      <c r="E27" s="11" t="str">
        <f>IF(ISBLANK(VLOOKUP($B27,بحرا!$A$2:$AG$31,4,FALSE)),"",VLOOKUP($B27,بحرا!$A$2:$AG$31,4,FALSE))</f>
        <v/>
      </c>
      <c r="F27" s="11" t="str">
        <f>IF(ISBLANK(VLOOKUP($B27,بحرا!$A$2:$AG$31,5,FALSE)),"",VLOOKUP($B27,بحرا!$A$2:$AG$31,5,FALSE))</f>
        <v/>
      </c>
      <c r="G27" s="11" t="str">
        <f>IF(ISBLANK(VLOOKUP($B27,بحرا!$A$2:$AG$31,6,FALSE)),"",VLOOKUP($B27,بحرا!$A$2:$AG$31,6,FALSE))</f>
        <v/>
      </c>
      <c r="H27" s="11" t="str">
        <f>IF(ISBLANK(VLOOKUP($B27,بحرا!$A$2:$AG$31,7,FALSE)),"",VLOOKUP($B27,بحرا!$A$2:$AG$31,7,FALSE))</f>
        <v/>
      </c>
      <c r="I27" s="11" t="str">
        <f>IF(ISBLANK(VLOOKUP($B27,بحرا!$A$2:$AG$31,8,FALSE)),"",VLOOKUP($B27,بحرا!$A$2:$AG$31,8,FALSE))</f>
        <v/>
      </c>
      <c r="J27" s="11" t="str">
        <f>IF(ISBLANK(VLOOKUP($B27,بحرا!$A$2:$AG$31,9,FALSE)),"",VLOOKUP($B27,بحرا!$A$2:$AG$31,9,FALSE))</f>
        <v/>
      </c>
      <c r="K27" s="11" t="str">
        <f>IF(ISBLANK(VLOOKUP($B27,بحرا!$A$2:$AG$31,10,FALSE)),"",VLOOKUP($B27,بحرا!$A$2:$AG$31,10,FALSE))</f>
        <v/>
      </c>
      <c r="L27" s="11" t="str">
        <f>IF(ISBLANK(VLOOKUP($B27,بحرا!$A$2:$AG$31,11,FALSE)),"",VLOOKUP($B27,بحرا!$A$2:$AG$31,11,FALSE))</f>
        <v/>
      </c>
      <c r="M27" s="11" t="str">
        <f>IF(ISBLANK(VLOOKUP($B27,بحرا!$A$2:$AG$31,12,FALSE)),"",VLOOKUP($B27,بحرا!$A$2:$AG$31,12,FALSE))</f>
        <v/>
      </c>
      <c r="N27" s="11" t="str">
        <f>IF(ISBLANK(VLOOKUP($B27,بحرا!$A$2:$AG$31,13,FALSE)),"",VLOOKUP($B27,بحرا!$A$2:$AG$31,13,FALSE))</f>
        <v/>
      </c>
      <c r="O27" s="11" t="str">
        <f>IF(ISBLANK(VLOOKUP($B27,بحرا!$A$2:$AG$31,14,FALSE)),"",VLOOKUP($B27,بحرا!$A$2:$AG$31,14,FALSE))</f>
        <v/>
      </c>
      <c r="P27" s="11" t="str">
        <f>IF(ISBLANK(VLOOKUP($B27,بحرا!$A$2:$AG$31,15,FALSE)),"",VLOOKUP($B27,بحرا!$A$2:$AG$31,15,FALSE))</f>
        <v/>
      </c>
      <c r="Q27" s="11" t="str">
        <f>IF(ISBLANK(VLOOKUP($B27,بحرا!$A$2:$AG$31,16,FALSE)),"",VLOOKUP($B27,بحرا!$A$2:$AG$31,16,FALSE))</f>
        <v/>
      </c>
      <c r="R27" s="15"/>
      <c r="S27" s="11" t="str">
        <f>IF(ISBLANK(VLOOKUP($B27,بحرا!$A$2:$AG$31,17,FALSE)),"",VLOOKUP($B27,بحرا!$A$2:$AG$31,17,FALSE))</f>
        <v/>
      </c>
      <c r="T27" s="15"/>
      <c r="U27" s="11" t="str">
        <f>IF(ISBLANK(VLOOKUP($B27,بحرا!$A$2:$AG$31,18,FALSE)),"",VLOOKUP($B27,بحرا!$A$2:$AG$31,18,FALSE))</f>
        <v/>
      </c>
      <c r="V27" s="11" t="str">
        <f>IF(ISBLANK(VLOOKUP($B27,بحرا!$A$2:$AG$31,19,FALSE)),"",VLOOKUP($B27,بحرا!$A$2:$AG$31,19,FALSE))</f>
        <v/>
      </c>
      <c r="W27" s="11" t="str">
        <f>IF(ISBLANK(VLOOKUP($B27,بحرا!$A$2:$AG$31,20,FALSE)),"",VLOOKUP($B27,بحرا!$A$2:$AG$31,20,FALSE))</f>
        <v/>
      </c>
      <c r="X27" s="12">
        <f>IF(ISBLANK(VLOOKUP($B27,بحرا!$A$2:$AG$31,21,FALSE)),0,VLOOKUP($B27,بحرا!$A$2:$AG$31,21,FALSE))</f>
        <v>0</v>
      </c>
      <c r="Y27" s="12">
        <f>IF(ISBLANK(VLOOKUP($B27,بحرا!$A$2:$AG$31,22,FALSE)),0,VLOOKUP($B27,بحرا!$A$2:$AG$31,22,FALSE))</f>
        <v>0</v>
      </c>
      <c r="Z27" s="12">
        <f>IF(ISBLANK(VLOOKUP($B27,بحرا!$A$2:$AG$31,23,FALSE)),0,VLOOKUP($B27,بحرا!$A$2:$AG$31,23,FALSE))</f>
        <v>0</v>
      </c>
      <c r="AA27" s="12">
        <f>IF(ISBLANK(VLOOKUP($B27,بحرا!$A$2:$AG$31,24,FALSE)),0,VLOOKUP($B27,بحرا!$A$2:$AG$31,24,FALSE))</f>
        <v>0</v>
      </c>
      <c r="AB27" s="12">
        <f>IF(ISBLANK(VLOOKUP($B27,بحرا!$A$2:$AG$31,25,FALSE)),0,VLOOKUP($B27,بحرا!$A$2:$AG$31,25,FALSE))</f>
        <v>0</v>
      </c>
      <c r="AC27" s="12">
        <f>IF(ISBLANK(VLOOKUP($B27,بحرا!$A$2:$AG$31,26,FALSE)),0,VLOOKUP($B27,بحرا!$A$2:$AG$31,26,FALSE))</f>
        <v>0</v>
      </c>
      <c r="AD27" s="12">
        <f>IF(ISBLANK(VLOOKUP($B27,بحرا!$A$2:$AJ$31,27,FALSE)),0,VLOOKUP($B27,بحرا!$A$2:$AJ$31,27,FALSE))</f>
        <v>0</v>
      </c>
      <c r="AE27" s="12">
        <f>IF(ISBLANK(VLOOKUP($B27,بحرا!$A$2:$AJ$31,28,FALSE)),0,VLOOKUP($B27,بحرا!$A$2:$AJ$31,28,FALSE))</f>
        <v>0</v>
      </c>
      <c r="AF27" s="12">
        <f>IF(ISBLANK(VLOOKUP($B27,بحرا!$A$2:$AG$31,29,FALSE)),0,VLOOKUP($B27,بحرا!$A$2:$AG$31,29,FALSE))</f>
        <v>0</v>
      </c>
      <c r="AG27" s="12">
        <f>IF(ISBLANK(VLOOKUP($B27,بحرا!$A$2:$AG$31,30,FALSE)),0,VLOOKUP($B27,بحرا!$A$2:$AG$31,30,FALSE))</f>
        <v>0</v>
      </c>
      <c r="AH27" s="12">
        <f>IF(ISBLANK(VLOOKUP($B27,بحرا!$A$2:$AG$31,31,FALSE)),0,VLOOKUP($B27,بحرا!$A$2:$AG$31,31,FALSE))</f>
        <v>0</v>
      </c>
      <c r="AI27" s="12">
        <f>IF(ISBLANK(VLOOKUP($B27,بحرا!$A$2:$AG$31,32,FALSE)),0,VLOOKUP($B27,بحرا!$A$2:$AG$31,32,FALSE))</f>
        <v>0</v>
      </c>
      <c r="AJ27" s="12">
        <f>IF(ISBLANK(VLOOKUP($B27,بحرا!$A$2:$AJ$31,33,FALSE)),0,VLOOKUP($B27,بحرا!$A$2:$AJ$31,33,FALSE))</f>
        <v>0</v>
      </c>
      <c r="AK27" s="12">
        <f>IF(ISBLANK(VLOOKUP($B27,بحرا!$A$2:$AJ$31,34,FALSE)),0,VLOOKUP($B27,بحرا!$A$2:$AJ$31,34,FALSE))</f>
        <v>0</v>
      </c>
      <c r="AL27" s="12">
        <f>IF(ISBLANK(VLOOKUP($B27,بحرا!$A$2:$AJ$31,35,FALSE)),0,VLOOKUP($B27,بحرا!$A$2:$AJ$31,35,FALSE))</f>
        <v>0</v>
      </c>
      <c r="AM27" s="12">
        <f>IF(ISBLANK(VLOOKUP($B27,بحرا!$A$2:$AJ$31,36,FALSE)),0,VLOOKUP($B27,بحرا!$A$2:$AJ$31,36,FALSE))</f>
        <v>0</v>
      </c>
      <c r="AN27" s="13" t="str">
        <f t="shared" si="0"/>
        <v/>
      </c>
    </row>
    <row r="28" spans="2:40" ht="48" customHeight="1" thickTop="1" thickBot="1">
      <c r="B28" s="10" t="str">
        <f>بحرا!A21</f>
        <v>الكاف</v>
      </c>
      <c r="C28" s="11" t="str">
        <f>IF(ISBLANK(VLOOKUP($B28,بحرا!$A$2:$AG$31,3,FALSE)),"",VLOOKUP($B28,بحرا!$A$2:$AG$31,3,FALSE))</f>
        <v/>
      </c>
      <c r="D28" s="11" t="str">
        <f>IF(ISBLANK(VLOOKUP($B28,بحرا!$A$2:$AG$31,2,FALSE)),"",VLOOKUP($B28,بحرا!$A$2:$AG$31,2,FALSE))</f>
        <v/>
      </c>
      <c r="E28" s="11" t="str">
        <f>IF(ISBLANK(VLOOKUP($B28,بحرا!$A$2:$AG$31,4,FALSE)),"",VLOOKUP($B28,بحرا!$A$2:$AG$31,4,FALSE))</f>
        <v/>
      </c>
      <c r="F28" s="11" t="str">
        <f>IF(ISBLANK(VLOOKUP($B28,بحرا!$A$2:$AG$31,5,FALSE)),"",VLOOKUP($B28,بحرا!$A$2:$AG$31,5,FALSE))</f>
        <v/>
      </c>
      <c r="G28" s="11" t="str">
        <f>IF(ISBLANK(VLOOKUP($B28,بحرا!$A$2:$AG$31,6,FALSE)),"",VLOOKUP($B28,بحرا!$A$2:$AG$31,6,FALSE))</f>
        <v/>
      </c>
      <c r="H28" s="11" t="str">
        <f>IF(ISBLANK(VLOOKUP($B28,بحرا!$A$2:$AG$31,7,FALSE)),"",VLOOKUP($B28,بحرا!$A$2:$AG$31,7,FALSE))</f>
        <v/>
      </c>
      <c r="I28" s="11" t="str">
        <f>IF(ISBLANK(VLOOKUP($B28,بحرا!$A$2:$AG$31,8,FALSE)),"",VLOOKUP($B28,بحرا!$A$2:$AG$31,8,FALSE))</f>
        <v/>
      </c>
      <c r="J28" s="11" t="str">
        <f>IF(ISBLANK(VLOOKUP($B28,بحرا!$A$2:$AG$31,9,FALSE)),"",VLOOKUP($B28,بحرا!$A$2:$AG$31,9,FALSE))</f>
        <v/>
      </c>
      <c r="K28" s="11" t="str">
        <f>IF(ISBLANK(VLOOKUP($B28,بحرا!$A$2:$AG$31,10,FALSE)),"",VLOOKUP($B28,بحرا!$A$2:$AG$31,10,FALSE))</f>
        <v/>
      </c>
      <c r="L28" s="11" t="str">
        <f>IF(ISBLANK(VLOOKUP($B28,بحرا!$A$2:$AG$31,11,FALSE)),"",VLOOKUP($B28,بحرا!$A$2:$AG$31,11,FALSE))</f>
        <v/>
      </c>
      <c r="M28" s="11" t="str">
        <f>IF(ISBLANK(VLOOKUP($B28,بحرا!$A$2:$AG$31,12,FALSE)),"",VLOOKUP($B28,بحرا!$A$2:$AG$31,12,FALSE))</f>
        <v/>
      </c>
      <c r="N28" s="11" t="str">
        <f>IF(ISBLANK(VLOOKUP($B28,بحرا!$A$2:$AG$31,13,FALSE)),"",VLOOKUP($B28,بحرا!$A$2:$AG$31,13,FALSE))</f>
        <v/>
      </c>
      <c r="O28" s="11" t="str">
        <f>IF(ISBLANK(VLOOKUP($B28,بحرا!$A$2:$AG$31,14,FALSE)),"",VLOOKUP($B28,بحرا!$A$2:$AG$31,14,FALSE))</f>
        <v/>
      </c>
      <c r="P28" s="11" t="str">
        <f>IF(ISBLANK(VLOOKUP($B28,بحرا!$A$2:$AG$31,15,FALSE)),"",VLOOKUP($B28,بحرا!$A$2:$AG$31,15,FALSE))</f>
        <v/>
      </c>
      <c r="Q28" s="11" t="str">
        <f>IF(ISBLANK(VLOOKUP($B28,بحرا!$A$2:$AG$31,16,FALSE)),"",VLOOKUP($B28,بحرا!$A$2:$AG$31,16,FALSE))</f>
        <v/>
      </c>
      <c r="R28" s="15"/>
      <c r="S28" s="11" t="str">
        <f>IF(ISBLANK(VLOOKUP($B28,بحرا!$A$2:$AG$31,17,FALSE)),"",VLOOKUP($B28,بحرا!$A$2:$AG$31,17,FALSE))</f>
        <v/>
      </c>
      <c r="T28" s="15"/>
      <c r="U28" s="11" t="str">
        <f>IF(ISBLANK(VLOOKUP($B28,بحرا!$A$2:$AG$31,18,FALSE)),"",VLOOKUP($B28,بحرا!$A$2:$AG$31,18,FALSE))</f>
        <v/>
      </c>
      <c r="V28" s="11" t="str">
        <f>IF(ISBLANK(VLOOKUP($B28,بحرا!$A$2:$AG$31,19,FALSE)),"",VLOOKUP($B28,بحرا!$A$2:$AG$31,19,FALSE))</f>
        <v/>
      </c>
      <c r="W28" s="11" t="str">
        <f>IF(ISBLANK(VLOOKUP($B28,بحرا!$A$2:$AG$31,20,FALSE)),"",VLOOKUP($B28,بحرا!$A$2:$AG$31,20,FALSE))</f>
        <v/>
      </c>
      <c r="X28" s="12">
        <f>IF(ISBLANK(VLOOKUP($B28,بحرا!$A$2:$AG$31,21,FALSE)),0,VLOOKUP($B28,بحرا!$A$2:$AG$31,21,FALSE))</f>
        <v>0</v>
      </c>
      <c r="Y28" s="12">
        <f>IF(ISBLANK(VLOOKUP($B28,بحرا!$A$2:$AG$31,22,FALSE)),0,VLOOKUP($B28,بحرا!$A$2:$AG$31,22,FALSE))</f>
        <v>0</v>
      </c>
      <c r="Z28" s="12">
        <f>IF(ISBLANK(VLOOKUP($B28,بحرا!$A$2:$AG$31,23,FALSE)),0,VLOOKUP($B28,بحرا!$A$2:$AG$31,23,FALSE))</f>
        <v>0</v>
      </c>
      <c r="AA28" s="12">
        <f>IF(ISBLANK(VLOOKUP($B28,بحرا!$A$2:$AG$31,24,FALSE)),0,VLOOKUP($B28,بحرا!$A$2:$AG$31,24,FALSE))</f>
        <v>0</v>
      </c>
      <c r="AB28" s="12">
        <f>IF(ISBLANK(VLOOKUP($B28,بحرا!$A$2:$AG$31,25,FALSE)),0,VLOOKUP($B28,بحرا!$A$2:$AG$31,25,FALSE))</f>
        <v>0</v>
      </c>
      <c r="AC28" s="12">
        <f>IF(ISBLANK(VLOOKUP($B28,بحرا!$A$2:$AG$31,26,FALSE)),0,VLOOKUP($B28,بحرا!$A$2:$AG$31,26,FALSE))</f>
        <v>0</v>
      </c>
      <c r="AD28" s="12">
        <f>IF(ISBLANK(VLOOKUP($B28,بحرا!$A$2:$AJ$31,27,FALSE)),0,VLOOKUP($B28,بحرا!$A$2:$AJ$31,27,FALSE))</f>
        <v>0</v>
      </c>
      <c r="AE28" s="12">
        <f>IF(ISBLANK(VLOOKUP($B28,بحرا!$A$2:$AJ$31,28,FALSE)),0,VLOOKUP($B28,بحرا!$A$2:$AJ$31,28,FALSE))</f>
        <v>0</v>
      </c>
      <c r="AF28" s="12">
        <f>IF(ISBLANK(VLOOKUP($B28,بحرا!$A$2:$AG$31,29,FALSE)),0,VLOOKUP($B28,بحرا!$A$2:$AG$31,29,FALSE))</f>
        <v>0</v>
      </c>
      <c r="AG28" s="12">
        <f>IF(ISBLANK(VLOOKUP($B28,بحرا!$A$2:$AG$31,30,FALSE)),0,VLOOKUP($B28,بحرا!$A$2:$AG$31,30,FALSE))</f>
        <v>0</v>
      </c>
      <c r="AH28" s="12">
        <f>IF(ISBLANK(VLOOKUP($B28,بحرا!$A$2:$AG$31,31,FALSE)),0,VLOOKUP($B28,بحرا!$A$2:$AG$31,31,FALSE))</f>
        <v>0</v>
      </c>
      <c r="AI28" s="12">
        <f>IF(ISBLANK(VLOOKUP($B28,بحرا!$A$2:$AG$31,32,FALSE)),0,VLOOKUP($B28,بحرا!$A$2:$AG$31,32,FALSE))</f>
        <v>0</v>
      </c>
      <c r="AJ28" s="12">
        <f>IF(ISBLANK(VLOOKUP($B28,بحرا!$A$2:$AJ$31,33,FALSE)),0,VLOOKUP($B28,بحرا!$A$2:$AJ$31,33,FALSE))</f>
        <v>0</v>
      </c>
      <c r="AK28" s="12">
        <f>IF(ISBLANK(VLOOKUP($B28,بحرا!$A$2:$AJ$31,34,FALSE)),0,VLOOKUP($B28,بحرا!$A$2:$AJ$31,34,FALSE))</f>
        <v>0</v>
      </c>
      <c r="AL28" s="12">
        <f>IF(ISBLANK(VLOOKUP($B28,بحرا!$A$2:$AJ$31,35,FALSE)),0,VLOOKUP($B28,بحرا!$A$2:$AJ$31,35,FALSE))</f>
        <v>0</v>
      </c>
      <c r="AM28" s="12">
        <f>IF(ISBLANK(VLOOKUP($B28,بحرا!$A$2:$AJ$31,36,FALSE)),0,VLOOKUP($B28,بحرا!$A$2:$AJ$31,36,FALSE))</f>
        <v>0</v>
      </c>
      <c r="AN28" s="13" t="str">
        <f t="shared" si="0"/>
        <v/>
      </c>
    </row>
    <row r="29" spans="2:40" ht="48" customHeight="1" thickTop="1" thickBot="1">
      <c r="B29" s="10" t="str">
        <f>بحرا!A22</f>
        <v>القيروان</v>
      </c>
      <c r="C29" s="11" t="str">
        <f>IF(ISBLANK(VLOOKUP($B29,بحرا!$A$2:$AG$31,3,FALSE)),"",VLOOKUP($B29,بحرا!$A$2:$AG$31,3,FALSE))</f>
        <v/>
      </c>
      <c r="D29" s="11" t="str">
        <f>IF(ISBLANK(VLOOKUP($B29,بحرا!$A$2:$AG$31,2,FALSE)),"",VLOOKUP($B29,بحرا!$A$2:$AG$31,2,FALSE))</f>
        <v/>
      </c>
      <c r="E29" s="11" t="str">
        <f>IF(ISBLANK(VLOOKUP($B29,بحرا!$A$2:$AG$31,4,FALSE)),"",VLOOKUP($B29,بحرا!$A$2:$AG$31,4,FALSE))</f>
        <v/>
      </c>
      <c r="F29" s="11" t="str">
        <f>IF(ISBLANK(VLOOKUP($B29,بحرا!$A$2:$AG$31,5,FALSE)),"",VLOOKUP($B29,بحرا!$A$2:$AG$31,5,FALSE))</f>
        <v/>
      </c>
      <c r="G29" s="11" t="str">
        <f>IF(ISBLANK(VLOOKUP($B29,بحرا!$A$2:$AG$31,6,FALSE)),"",VLOOKUP($B29,بحرا!$A$2:$AG$31,6,FALSE))</f>
        <v/>
      </c>
      <c r="H29" s="11" t="str">
        <f>IF(ISBLANK(VLOOKUP($B29,بحرا!$A$2:$AG$31,7,FALSE)),"",VLOOKUP($B29,بحرا!$A$2:$AG$31,7,FALSE))</f>
        <v/>
      </c>
      <c r="I29" s="11" t="str">
        <f>IF(ISBLANK(VLOOKUP($B29,بحرا!$A$2:$AG$31,8,FALSE)),"",VLOOKUP($B29,بحرا!$A$2:$AG$31,8,FALSE))</f>
        <v/>
      </c>
      <c r="J29" s="11" t="str">
        <f>IF(ISBLANK(VLOOKUP($B29,بحرا!$A$2:$AG$31,9,FALSE)),"",VLOOKUP($B29,بحرا!$A$2:$AG$31,9,FALSE))</f>
        <v/>
      </c>
      <c r="K29" s="11" t="str">
        <f>IF(ISBLANK(VLOOKUP($B29,بحرا!$A$2:$AG$31,10,FALSE)),"",VLOOKUP($B29,بحرا!$A$2:$AG$31,10,FALSE))</f>
        <v/>
      </c>
      <c r="L29" s="11" t="str">
        <f>IF(ISBLANK(VLOOKUP($B29,بحرا!$A$2:$AG$31,11,FALSE)),"",VLOOKUP($B29,بحرا!$A$2:$AG$31,11,FALSE))</f>
        <v/>
      </c>
      <c r="M29" s="11" t="str">
        <f>IF(ISBLANK(VLOOKUP($B29,بحرا!$A$2:$AG$31,12,FALSE)),"",VLOOKUP($B29,بحرا!$A$2:$AG$31,12,FALSE))</f>
        <v/>
      </c>
      <c r="N29" s="11" t="str">
        <f>IF(ISBLANK(VLOOKUP($B29,بحرا!$A$2:$AG$31,13,FALSE)),"",VLOOKUP($B29,بحرا!$A$2:$AG$31,13,FALSE))</f>
        <v/>
      </c>
      <c r="O29" s="11" t="str">
        <f>IF(ISBLANK(VLOOKUP($B29,بحرا!$A$2:$AG$31,14,FALSE)),"",VLOOKUP($B29,بحرا!$A$2:$AG$31,14,FALSE))</f>
        <v/>
      </c>
      <c r="P29" s="11" t="str">
        <f>IF(ISBLANK(VLOOKUP($B29,بحرا!$A$2:$AG$31,15,FALSE)),"",VLOOKUP($B29,بحرا!$A$2:$AG$31,15,FALSE))</f>
        <v/>
      </c>
      <c r="Q29" s="11" t="str">
        <f>IF(ISBLANK(VLOOKUP($B29,بحرا!$A$2:$AG$31,16,FALSE)),"",VLOOKUP($B29,بحرا!$A$2:$AG$31,16,FALSE))</f>
        <v/>
      </c>
      <c r="R29" s="15"/>
      <c r="S29" s="11" t="str">
        <f>IF(ISBLANK(VLOOKUP($B29,بحرا!$A$2:$AG$31,17,FALSE)),"",VLOOKUP($B29,بحرا!$A$2:$AG$31,17,FALSE))</f>
        <v/>
      </c>
      <c r="T29" s="15"/>
      <c r="U29" s="11" t="str">
        <f>IF(ISBLANK(VLOOKUP($B29,بحرا!$A$2:$AG$31,18,FALSE)),"",VLOOKUP($B29,بحرا!$A$2:$AG$31,18,FALSE))</f>
        <v/>
      </c>
      <c r="V29" s="11" t="str">
        <f>IF(ISBLANK(VLOOKUP($B29,بحرا!$A$2:$AG$31,19,FALSE)),"",VLOOKUP($B29,بحرا!$A$2:$AG$31,19,FALSE))</f>
        <v/>
      </c>
      <c r="W29" s="11" t="str">
        <f>IF(ISBLANK(VLOOKUP($B29,بحرا!$A$2:$AG$31,20,FALSE)),"",VLOOKUP($B29,بحرا!$A$2:$AG$31,20,FALSE))</f>
        <v/>
      </c>
      <c r="X29" s="12">
        <f>IF(ISBLANK(VLOOKUP($B29,بحرا!$A$2:$AG$31,21,FALSE)),0,VLOOKUP($B29,بحرا!$A$2:$AG$31,21,FALSE))</f>
        <v>0</v>
      </c>
      <c r="Y29" s="12">
        <f>IF(ISBLANK(VLOOKUP($B29,بحرا!$A$2:$AG$31,22,FALSE)),0,VLOOKUP($B29,بحرا!$A$2:$AG$31,22,FALSE))</f>
        <v>0</v>
      </c>
      <c r="Z29" s="12">
        <f>IF(ISBLANK(VLOOKUP($B29,بحرا!$A$2:$AG$31,23,FALSE)),0,VLOOKUP($B29,بحرا!$A$2:$AG$31,23,FALSE))</f>
        <v>0</v>
      </c>
      <c r="AA29" s="12">
        <f>IF(ISBLANK(VLOOKUP($B29,بحرا!$A$2:$AG$31,24,FALSE)),0,VLOOKUP($B29,بحرا!$A$2:$AG$31,24,FALSE))</f>
        <v>0</v>
      </c>
      <c r="AB29" s="12">
        <f>IF(ISBLANK(VLOOKUP($B29,بحرا!$A$2:$AG$31,25,FALSE)),0,VLOOKUP($B29,بحرا!$A$2:$AG$31,25,FALSE))</f>
        <v>0</v>
      </c>
      <c r="AC29" s="12">
        <f>IF(ISBLANK(VLOOKUP($B29,بحرا!$A$2:$AG$31,26,FALSE)),0,VLOOKUP($B29,بحرا!$A$2:$AG$31,26,FALSE))</f>
        <v>0</v>
      </c>
      <c r="AD29" s="12">
        <f>IF(ISBLANK(VLOOKUP($B29,بحرا!$A$2:$AJ$31,27,FALSE)),0,VLOOKUP($B29,بحرا!$A$2:$AJ$31,27,FALSE))</f>
        <v>0</v>
      </c>
      <c r="AE29" s="12">
        <f>IF(ISBLANK(VLOOKUP($B29,بحرا!$A$2:$AJ$31,28,FALSE)),0,VLOOKUP($B29,بحرا!$A$2:$AJ$31,28,FALSE))</f>
        <v>0</v>
      </c>
      <c r="AF29" s="12">
        <f>IF(ISBLANK(VLOOKUP($B29,بحرا!$A$2:$AG$31,29,FALSE)),0,VLOOKUP($B29,بحرا!$A$2:$AG$31,29,FALSE))</f>
        <v>0</v>
      </c>
      <c r="AG29" s="12">
        <f>IF(ISBLANK(VLOOKUP($B29,بحرا!$A$2:$AG$31,30,FALSE)),0,VLOOKUP($B29,بحرا!$A$2:$AG$31,30,FALSE))</f>
        <v>0</v>
      </c>
      <c r="AH29" s="12">
        <f>IF(ISBLANK(VLOOKUP($B29,بحرا!$A$2:$AG$31,31,FALSE)),0,VLOOKUP($B29,بحرا!$A$2:$AG$31,31,FALSE))</f>
        <v>0</v>
      </c>
      <c r="AI29" s="12">
        <f>IF(ISBLANK(VLOOKUP($B29,بحرا!$A$2:$AG$31,32,FALSE)),0,VLOOKUP($B29,بحرا!$A$2:$AG$31,32,FALSE))</f>
        <v>0</v>
      </c>
      <c r="AJ29" s="12">
        <f>IF(ISBLANK(VLOOKUP($B29,بحرا!$A$2:$AJ$31,33,FALSE)),0,VLOOKUP($B29,بحرا!$A$2:$AJ$31,33,FALSE))</f>
        <v>0</v>
      </c>
      <c r="AK29" s="12">
        <f>IF(ISBLANK(VLOOKUP($B29,بحرا!$A$2:$AJ$31,34,FALSE)),0,VLOOKUP($B29,بحرا!$A$2:$AJ$31,34,FALSE))</f>
        <v>0</v>
      </c>
      <c r="AL29" s="12">
        <f>IF(ISBLANK(VLOOKUP($B29,بحرا!$A$2:$AJ$31,35,FALSE)),0,VLOOKUP($B29,بحرا!$A$2:$AJ$31,35,FALSE))</f>
        <v>0</v>
      </c>
      <c r="AM29" s="12">
        <f>IF(ISBLANK(VLOOKUP($B29,بحرا!$A$2:$AJ$31,36,FALSE)),0,VLOOKUP($B29,بحرا!$A$2:$AJ$31,36,FALSE))</f>
        <v>0</v>
      </c>
      <c r="AN29" s="13" t="str">
        <f t="shared" si="0"/>
        <v/>
      </c>
    </row>
    <row r="30" spans="2:40" ht="48" customHeight="1" thickTop="1" thickBot="1">
      <c r="B30" s="10" t="str">
        <f>بحرا!A23</f>
        <v>القصرين</v>
      </c>
      <c r="C30" s="11" t="str">
        <f>IF(ISBLANK(VLOOKUP($B30,بحرا!$A$2:$AG$31,3,FALSE)),"",VLOOKUP($B30,بحرا!$A$2:$AG$31,3,FALSE))</f>
        <v/>
      </c>
      <c r="D30" s="11" t="str">
        <f>IF(ISBLANK(VLOOKUP($B30,بحرا!$A$2:$AG$31,2,FALSE)),"",VLOOKUP($B30,بحرا!$A$2:$AG$31,2,FALSE))</f>
        <v/>
      </c>
      <c r="E30" s="11" t="str">
        <f>IF(ISBLANK(VLOOKUP($B30,بحرا!$A$2:$AG$31,4,FALSE)),"",VLOOKUP($B30,بحرا!$A$2:$AG$31,4,FALSE))</f>
        <v/>
      </c>
      <c r="F30" s="11" t="str">
        <f>IF(ISBLANK(VLOOKUP($B30,بحرا!$A$2:$AG$31,5,FALSE)),"",VLOOKUP($B30,بحرا!$A$2:$AG$31,5,FALSE))</f>
        <v/>
      </c>
      <c r="G30" s="11" t="str">
        <f>IF(ISBLANK(VLOOKUP($B30,بحرا!$A$2:$AG$31,6,FALSE)),"",VLOOKUP($B30,بحرا!$A$2:$AG$31,6,FALSE))</f>
        <v/>
      </c>
      <c r="H30" s="11" t="str">
        <f>IF(ISBLANK(VLOOKUP($B30,بحرا!$A$2:$AG$31,7,FALSE)),"",VLOOKUP($B30,بحرا!$A$2:$AG$31,7,FALSE))</f>
        <v/>
      </c>
      <c r="I30" s="11" t="str">
        <f>IF(ISBLANK(VLOOKUP($B30,بحرا!$A$2:$AG$31,8,FALSE)),"",VLOOKUP($B30,بحرا!$A$2:$AG$31,8,FALSE))</f>
        <v/>
      </c>
      <c r="J30" s="11" t="str">
        <f>IF(ISBLANK(VLOOKUP($B30,بحرا!$A$2:$AG$31,9,FALSE)),"",VLOOKUP($B30,بحرا!$A$2:$AG$31,9,FALSE))</f>
        <v/>
      </c>
      <c r="K30" s="11" t="str">
        <f>IF(ISBLANK(VLOOKUP($B30,بحرا!$A$2:$AG$31,10,FALSE)),"",VLOOKUP($B30,بحرا!$A$2:$AG$31,10,FALSE))</f>
        <v/>
      </c>
      <c r="L30" s="11" t="str">
        <f>IF(ISBLANK(VLOOKUP($B30,بحرا!$A$2:$AG$31,11,FALSE)),"",VLOOKUP($B30,بحرا!$A$2:$AG$31,11,FALSE))</f>
        <v/>
      </c>
      <c r="M30" s="11" t="str">
        <f>IF(ISBLANK(VLOOKUP($B30,بحرا!$A$2:$AG$31,12,FALSE)),"",VLOOKUP($B30,بحرا!$A$2:$AG$31,12,FALSE))</f>
        <v/>
      </c>
      <c r="N30" s="11" t="str">
        <f>IF(ISBLANK(VLOOKUP($B30,بحرا!$A$2:$AG$31,13,FALSE)),"",VLOOKUP($B30,بحرا!$A$2:$AG$31,13,FALSE))</f>
        <v/>
      </c>
      <c r="O30" s="11" t="str">
        <f>IF(ISBLANK(VLOOKUP($B30,بحرا!$A$2:$AG$31,14,FALSE)),"",VLOOKUP($B30,بحرا!$A$2:$AG$31,14,FALSE))</f>
        <v/>
      </c>
      <c r="P30" s="11" t="str">
        <f>IF(ISBLANK(VLOOKUP($B30,بحرا!$A$2:$AG$31,15,FALSE)),"",VLOOKUP($B30,بحرا!$A$2:$AG$31,15,FALSE))</f>
        <v/>
      </c>
      <c r="Q30" s="11" t="str">
        <f>IF(ISBLANK(VLOOKUP($B30,بحرا!$A$2:$AG$31,16,FALSE)),"",VLOOKUP($B30,بحرا!$A$2:$AG$31,16,FALSE))</f>
        <v/>
      </c>
      <c r="R30" s="15"/>
      <c r="S30" s="11" t="str">
        <f>IF(ISBLANK(VLOOKUP($B30,بحرا!$A$2:$AG$31,17,FALSE)),"",VLOOKUP($B30,بحرا!$A$2:$AG$31,17,FALSE))</f>
        <v/>
      </c>
      <c r="T30" s="15"/>
      <c r="U30" s="11" t="str">
        <f>IF(ISBLANK(VLOOKUP($B30,بحرا!$A$2:$AG$31,18,FALSE)),"",VLOOKUP($B30,بحرا!$A$2:$AG$31,18,FALSE))</f>
        <v/>
      </c>
      <c r="V30" s="11" t="str">
        <f>IF(ISBLANK(VLOOKUP($B30,بحرا!$A$2:$AG$31,19,FALSE)),"",VLOOKUP($B30,بحرا!$A$2:$AG$31,19,FALSE))</f>
        <v/>
      </c>
      <c r="W30" s="11" t="str">
        <f>IF(ISBLANK(VLOOKUP($B30,بحرا!$A$2:$AG$31,20,FALSE)),"",VLOOKUP($B30,بحرا!$A$2:$AG$31,20,FALSE))</f>
        <v/>
      </c>
      <c r="X30" s="12">
        <f>IF(ISBLANK(VLOOKUP($B30,بحرا!$A$2:$AG$31,21,FALSE)),0,VLOOKUP($B30,بحرا!$A$2:$AG$31,21,FALSE))</f>
        <v>0</v>
      </c>
      <c r="Y30" s="12">
        <f>IF(ISBLANK(VLOOKUP($B30,بحرا!$A$2:$AG$31,22,FALSE)),0,VLOOKUP($B30,بحرا!$A$2:$AG$31,22,FALSE))</f>
        <v>0</v>
      </c>
      <c r="Z30" s="12">
        <f>IF(ISBLANK(VLOOKUP($B30,بحرا!$A$2:$AG$31,23,FALSE)),0,VLOOKUP($B30,بحرا!$A$2:$AG$31,23,FALSE))</f>
        <v>0</v>
      </c>
      <c r="AA30" s="12">
        <f>IF(ISBLANK(VLOOKUP($B30,بحرا!$A$2:$AG$31,24,FALSE)),0,VLOOKUP($B30,بحرا!$A$2:$AG$31,24,FALSE))</f>
        <v>0</v>
      </c>
      <c r="AB30" s="12">
        <f>IF(ISBLANK(VLOOKUP($B30,بحرا!$A$2:$AG$31,25,FALSE)),0,VLOOKUP($B30,بحرا!$A$2:$AG$31,25,FALSE))</f>
        <v>0</v>
      </c>
      <c r="AC30" s="12">
        <f>IF(ISBLANK(VLOOKUP($B30,بحرا!$A$2:$AG$31,26,FALSE)),0,VLOOKUP($B30,بحرا!$A$2:$AG$31,26,FALSE))</f>
        <v>0</v>
      </c>
      <c r="AD30" s="12">
        <f>IF(ISBLANK(VLOOKUP($B30,بحرا!$A$2:$AJ$31,27,FALSE)),0,VLOOKUP($B30,بحرا!$A$2:$AJ$31,27,FALSE))</f>
        <v>0</v>
      </c>
      <c r="AE30" s="12">
        <f>IF(ISBLANK(VLOOKUP($B30,بحرا!$A$2:$AJ$31,28,FALSE)),0,VLOOKUP($B30,بحرا!$A$2:$AJ$31,28,FALSE))</f>
        <v>0</v>
      </c>
      <c r="AF30" s="12">
        <f>IF(ISBLANK(VLOOKUP($B30,بحرا!$A$2:$AG$31,29,FALSE)),0,VLOOKUP($B30,بحرا!$A$2:$AG$31,29,FALSE))</f>
        <v>0</v>
      </c>
      <c r="AG30" s="12">
        <f>IF(ISBLANK(VLOOKUP($B30,بحرا!$A$2:$AG$31,30,FALSE)),0,VLOOKUP($B30,بحرا!$A$2:$AG$31,30,FALSE))</f>
        <v>0</v>
      </c>
      <c r="AH30" s="12">
        <f>IF(ISBLANK(VLOOKUP($B30,بحرا!$A$2:$AG$31,31,FALSE)),0,VLOOKUP($B30,بحرا!$A$2:$AG$31,31,FALSE))</f>
        <v>0</v>
      </c>
      <c r="AI30" s="12">
        <f>IF(ISBLANK(VLOOKUP($B30,بحرا!$A$2:$AG$31,32,FALSE)),0,VLOOKUP($B30,بحرا!$A$2:$AG$31,32,FALSE))</f>
        <v>0</v>
      </c>
      <c r="AJ30" s="12">
        <f>IF(ISBLANK(VLOOKUP($B30,بحرا!$A$2:$AJ$31,33,FALSE)),0,VLOOKUP($B30,بحرا!$A$2:$AJ$31,33,FALSE))</f>
        <v>0</v>
      </c>
      <c r="AK30" s="12">
        <f>IF(ISBLANK(VLOOKUP($B30,بحرا!$A$2:$AJ$31,34,FALSE)),0,VLOOKUP($B30,بحرا!$A$2:$AJ$31,34,FALSE))</f>
        <v>0</v>
      </c>
      <c r="AL30" s="12">
        <f>IF(ISBLANK(VLOOKUP($B30,بحرا!$A$2:$AJ$31,35,FALSE)),0,VLOOKUP($B30,بحرا!$A$2:$AJ$31,35,FALSE))</f>
        <v>0</v>
      </c>
      <c r="AM30" s="12">
        <f>IF(ISBLANK(VLOOKUP($B30,بحرا!$A$2:$AJ$31,36,FALSE)),0,VLOOKUP($B30,بحرا!$A$2:$AJ$31,36,FALSE))</f>
        <v>0</v>
      </c>
      <c r="AN30" s="13" t="str">
        <f t="shared" si="0"/>
        <v/>
      </c>
    </row>
    <row r="31" spans="2:40" ht="48" customHeight="1" thickTop="1" thickBot="1">
      <c r="B31" s="10" t="str">
        <f>بحرا!A24</f>
        <v>الفرق المركزية للأبحاث</v>
      </c>
      <c r="C31" s="11" t="str">
        <f>IF(ISBLANK(VLOOKUP($B31,بحرا!$A$2:$AG$31,3,FALSE)),"",VLOOKUP($B31,بحرا!$A$2:$AG$31,3,FALSE))</f>
        <v/>
      </c>
      <c r="D31" s="11" t="str">
        <f>IF(ISBLANK(VLOOKUP($B31,بحرا!$A$2:$AG$31,2,FALSE)),"",VLOOKUP($B31,بحرا!$A$2:$AG$31,2,FALSE))</f>
        <v/>
      </c>
      <c r="E31" s="11" t="str">
        <f>IF(ISBLANK(VLOOKUP($B31,بحرا!$A$2:$AG$31,4,FALSE)),"",VLOOKUP($B31,بحرا!$A$2:$AG$31,4,FALSE))</f>
        <v/>
      </c>
      <c r="F31" s="11" t="str">
        <f>IF(ISBLANK(VLOOKUP($B31,بحرا!$A$2:$AG$31,5,FALSE)),"",VLOOKUP($B31,بحرا!$A$2:$AG$31,5,FALSE))</f>
        <v/>
      </c>
      <c r="G31" s="11" t="str">
        <f>IF(ISBLANK(VLOOKUP($B31,بحرا!$A$2:$AG$31,6,FALSE)),"",VLOOKUP($B31,بحرا!$A$2:$AG$31,6,FALSE))</f>
        <v/>
      </c>
      <c r="H31" s="11" t="str">
        <f>IF(ISBLANK(VLOOKUP($B31,بحرا!$A$2:$AG$31,7,FALSE)),"",VLOOKUP($B31,بحرا!$A$2:$AG$31,7,FALSE))</f>
        <v/>
      </c>
      <c r="I31" s="11" t="str">
        <f>IF(ISBLANK(VLOOKUP($B31,بحرا!$A$2:$AG$31,8,FALSE)),"",VLOOKUP($B31,بحرا!$A$2:$AG$31,8,FALSE))</f>
        <v/>
      </c>
      <c r="J31" s="11" t="str">
        <f>IF(ISBLANK(VLOOKUP($B31,بحرا!$A$2:$AG$31,9,FALSE)),"",VLOOKUP($B31,بحرا!$A$2:$AG$31,9,FALSE))</f>
        <v/>
      </c>
      <c r="K31" s="11" t="str">
        <f>IF(ISBLANK(VLOOKUP($B31,بحرا!$A$2:$AG$31,10,FALSE)),"",VLOOKUP($B31,بحرا!$A$2:$AG$31,10,FALSE))</f>
        <v/>
      </c>
      <c r="L31" s="11" t="str">
        <f>IF(ISBLANK(VLOOKUP($B31,بحرا!$A$2:$AG$31,11,FALSE)),"",VLOOKUP($B31,بحرا!$A$2:$AG$31,11,FALSE))</f>
        <v/>
      </c>
      <c r="M31" s="11" t="str">
        <f>IF(ISBLANK(VLOOKUP($B31,بحرا!$A$2:$AG$31,12,FALSE)),"",VLOOKUP($B31,بحرا!$A$2:$AG$31,12,FALSE))</f>
        <v/>
      </c>
      <c r="N31" s="11" t="str">
        <f>IF(ISBLANK(VLOOKUP($B31,بحرا!$A$2:$AG$31,13,FALSE)),"",VLOOKUP($B31,بحرا!$A$2:$AG$31,13,FALSE))</f>
        <v/>
      </c>
      <c r="O31" s="11" t="str">
        <f>IF(ISBLANK(VLOOKUP($B31,بحرا!$A$2:$AG$31,14,FALSE)),"",VLOOKUP($B31,بحرا!$A$2:$AG$31,14,FALSE))</f>
        <v/>
      </c>
      <c r="P31" s="11" t="str">
        <f>IF(ISBLANK(VLOOKUP($B31,بحرا!$A$2:$AG$31,15,FALSE)),"",VLOOKUP($B31,بحرا!$A$2:$AG$31,15,FALSE))</f>
        <v/>
      </c>
      <c r="Q31" s="11" t="str">
        <f>IF(ISBLANK(VLOOKUP($B31,بحرا!$A$2:$AG$31,16,FALSE)),"",VLOOKUP($B31,بحرا!$A$2:$AG$31,16,FALSE))</f>
        <v/>
      </c>
      <c r="R31" s="15"/>
      <c r="S31" s="11" t="str">
        <f>IF(ISBLANK(VLOOKUP($B31,بحرا!$A$2:$AG$31,17,FALSE)),"",VLOOKUP($B31,بحرا!$A$2:$AG$31,17,FALSE))</f>
        <v/>
      </c>
      <c r="T31" s="15"/>
      <c r="U31" s="11" t="str">
        <f>IF(ISBLANK(VLOOKUP($B31,بحرا!$A$2:$AG$31,18,FALSE)),"",VLOOKUP($B31,بحرا!$A$2:$AG$31,18,FALSE))</f>
        <v/>
      </c>
      <c r="V31" s="11" t="str">
        <f>IF(ISBLANK(VLOOKUP($B31,بحرا!$A$2:$AG$31,19,FALSE)),"",VLOOKUP($B31,بحرا!$A$2:$AG$31,19,FALSE))</f>
        <v/>
      </c>
      <c r="W31" s="11" t="str">
        <f>IF(ISBLANK(VLOOKUP($B31,بحرا!$A$2:$AG$31,20,FALSE)),"",VLOOKUP($B31,بحرا!$A$2:$AG$31,20,FALSE))</f>
        <v/>
      </c>
      <c r="X31" s="12">
        <f>IF(ISBLANK(VLOOKUP($B31,بحرا!$A$2:$AG$31,21,FALSE)),0,VLOOKUP($B31,بحرا!$A$2:$AG$31,21,FALSE))</f>
        <v>0</v>
      </c>
      <c r="Y31" s="12">
        <f>IF(ISBLANK(VLOOKUP($B31,بحرا!$A$2:$AG$31,22,FALSE)),0,VLOOKUP($B31,بحرا!$A$2:$AG$31,22,FALSE))</f>
        <v>0</v>
      </c>
      <c r="Z31" s="12">
        <f>IF(ISBLANK(VLOOKUP($B31,بحرا!$A$2:$AG$31,23,FALSE)),0,VLOOKUP($B31,بحرا!$A$2:$AG$31,23,FALSE))</f>
        <v>0</v>
      </c>
      <c r="AA31" s="12">
        <f>IF(ISBLANK(VLOOKUP($B31,بحرا!$A$2:$AG$31,24,FALSE)),0,VLOOKUP($B31,بحرا!$A$2:$AG$31,24,FALSE))</f>
        <v>0</v>
      </c>
      <c r="AB31" s="12">
        <f>IF(ISBLANK(VLOOKUP($B31,بحرا!$A$2:$AG$31,25,FALSE)),0,VLOOKUP($B31,بحرا!$A$2:$AG$31,25,FALSE))</f>
        <v>0</v>
      </c>
      <c r="AC31" s="12">
        <f>IF(ISBLANK(VLOOKUP($B31,بحرا!$A$2:$AG$31,26,FALSE)),0,VLOOKUP($B31,بحرا!$A$2:$AG$31,26,FALSE))</f>
        <v>0</v>
      </c>
      <c r="AD31" s="12">
        <f>IF(ISBLANK(VLOOKUP($B31,بحرا!$A$2:$AJ$31,27,FALSE)),0,VLOOKUP($B31,بحرا!$A$2:$AJ$31,27,FALSE))</f>
        <v>0</v>
      </c>
      <c r="AE31" s="12">
        <f>IF(ISBLANK(VLOOKUP($B31,بحرا!$A$2:$AJ$31,28,FALSE)),0,VLOOKUP($B31,بحرا!$A$2:$AJ$31,28,FALSE))</f>
        <v>0</v>
      </c>
      <c r="AF31" s="12">
        <f>IF(ISBLANK(VLOOKUP($B31,بحرا!$A$2:$AG$31,29,FALSE)),0,VLOOKUP($B31,بحرا!$A$2:$AG$31,29,FALSE))</f>
        <v>0</v>
      </c>
      <c r="AG31" s="12">
        <f>IF(ISBLANK(VLOOKUP($B31,بحرا!$A$2:$AG$31,30,FALSE)),0,VLOOKUP($B31,بحرا!$A$2:$AG$31,30,FALSE))</f>
        <v>0</v>
      </c>
      <c r="AH31" s="12">
        <f>IF(ISBLANK(VLOOKUP($B31,بحرا!$A$2:$AG$31,31,FALSE)),0,VLOOKUP($B31,بحرا!$A$2:$AG$31,31,FALSE))</f>
        <v>0</v>
      </c>
      <c r="AI31" s="12">
        <f>IF(ISBLANK(VLOOKUP($B31,بحرا!$A$2:$AG$31,32,FALSE)),0,VLOOKUP($B31,بحرا!$A$2:$AG$31,32,FALSE))</f>
        <v>0</v>
      </c>
      <c r="AJ31" s="12">
        <f>IF(ISBLANK(VLOOKUP($B31,بحرا!$A$2:$AJ$31,33,FALSE)),0,VLOOKUP($B31,بحرا!$A$2:$AJ$31,33,FALSE))</f>
        <v>0</v>
      </c>
      <c r="AK31" s="12">
        <f>IF(ISBLANK(VLOOKUP($B31,بحرا!$A$2:$AJ$31,34,FALSE)),0,VLOOKUP($B31,بحرا!$A$2:$AJ$31,34,FALSE))</f>
        <v>0</v>
      </c>
      <c r="AL31" s="12">
        <f>IF(ISBLANK(VLOOKUP($B31,بحرا!$A$2:$AJ$31,35,FALSE)),0,VLOOKUP($B31,بحرا!$A$2:$AJ$31,35,FALSE))</f>
        <v>0</v>
      </c>
      <c r="AM31" s="12">
        <f>IF(ISBLANK(VLOOKUP($B31,بحرا!$A$2:$AJ$31,36,FALSE)),0,VLOOKUP($B31,بحرا!$A$2:$AJ$31,36,FALSE))</f>
        <v>0</v>
      </c>
      <c r="AN31" s="13" t="str">
        <f t="shared" si="0"/>
        <v/>
      </c>
    </row>
    <row r="32" spans="2:40" ht="81" customHeight="1" thickTop="1" thickBot="1">
      <c r="B32" s="10" t="str">
        <f>بحرا!A25</f>
        <v>إقليم الحرس البحري بالوسط</v>
      </c>
      <c r="C32" s="11" t="str">
        <f>IF(ISBLANK(VLOOKUP($B32,بحرا!$A$2:$AG$31,3,FALSE)),"",VLOOKUP($B32,بحرا!$A$2:$AG$31,3,FALSE))</f>
        <v/>
      </c>
      <c r="D32" s="11" t="str">
        <f>IF(ISBLANK(VLOOKUP($B32,بحرا!$A$2:$AG$31,2,FALSE)),"",VLOOKUP($B32,بحرا!$A$2:$AG$31,2,FALSE))</f>
        <v/>
      </c>
      <c r="E32" s="11" t="str">
        <f>IF(ISBLANK(VLOOKUP($B32,بحرا!$A$2:$AG$31,4,FALSE)),"",VLOOKUP($B32,بحرا!$A$2:$AG$31,4,FALSE))</f>
        <v/>
      </c>
      <c r="F32" s="11" t="str">
        <f>IF(ISBLANK(VLOOKUP($B32,بحرا!$A$2:$AG$31,5,FALSE)),"",VLOOKUP($B32,بحرا!$A$2:$AG$31,5,FALSE))</f>
        <v/>
      </c>
      <c r="G32" s="11" t="str">
        <f>IF(ISBLANK(VLOOKUP($B32,بحرا!$A$2:$AG$31,6,FALSE)),"",VLOOKUP($B32,بحرا!$A$2:$AG$31,6,FALSE))</f>
        <v/>
      </c>
      <c r="H32" s="11" t="str">
        <f>IF(ISBLANK(VLOOKUP($B32,بحرا!$A$2:$AG$31,7,FALSE)),"",VLOOKUP($B32,بحرا!$A$2:$AG$31,7,FALSE))</f>
        <v/>
      </c>
      <c r="I32" s="11" t="str">
        <f>IF(ISBLANK(VLOOKUP($B32,بحرا!$A$2:$AG$31,8,FALSE)),"",VLOOKUP($B32,بحرا!$A$2:$AG$31,8,FALSE))</f>
        <v/>
      </c>
      <c r="J32" s="11" t="str">
        <f>IF(ISBLANK(VLOOKUP($B32,بحرا!$A$2:$AG$31,9,FALSE)),"",VLOOKUP($B32,بحرا!$A$2:$AG$31,9,FALSE))</f>
        <v/>
      </c>
      <c r="K32" s="11" t="str">
        <f>IF(ISBLANK(VLOOKUP($B32,بحرا!$A$2:$AG$31,10,FALSE)),"",VLOOKUP($B32,بحرا!$A$2:$AG$31,10,FALSE))</f>
        <v/>
      </c>
      <c r="L32" s="11" t="str">
        <f>IF(ISBLANK(VLOOKUP($B32,بحرا!$A$2:$AG$31,11,FALSE)),"",VLOOKUP($B32,بحرا!$A$2:$AG$31,11,FALSE))</f>
        <v/>
      </c>
      <c r="M32" s="11" t="str">
        <f>IF(ISBLANK(VLOOKUP($B32,بحرا!$A$2:$AG$31,12,FALSE)),"",VLOOKUP($B32,بحرا!$A$2:$AG$31,12,FALSE))</f>
        <v/>
      </c>
      <c r="N32" s="11" t="str">
        <f>IF(ISBLANK(VLOOKUP($B32,بحرا!$A$2:$AG$31,13,FALSE)),"",VLOOKUP($B32,بحرا!$A$2:$AG$31,13,FALSE))</f>
        <v/>
      </c>
      <c r="O32" s="11" t="str">
        <f>IF(ISBLANK(VLOOKUP($B32,بحرا!$A$2:$AG$31,14,FALSE)),"",VLOOKUP($B32,بحرا!$A$2:$AG$31,14,FALSE))</f>
        <v/>
      </c>
      <c r="P32" s="11" t="str">
        <f>IF(ISBLANK(VLOOKUP($B32,بحرا!$A$2:$AG$31,15,FALSE)),"",VLOOKUP($B32,بحرا!$A$2:$AG$31,15,FALSE))</f>
        <v/>
      </c>
      <c r="Q32" s="11" t="str">
        <f>IF(ISBLANK(VLOOKUP($B32,بحرا!$A$2:$AG$31,16,FALSE)),"",VLOOKUP($B32,بحرا!$A$2:$AG$31,16,FALSE))</f>
        <v/>
      </c>
      <c r="R32" s="15"/>
      <c r="S32" s="11" t="str">
        <f>IF(ISBLANK(VLOOKUP($B32,بحرا!$A$2:$AG$31,17,FALSE)),"",VLOOKUP($B32,بحرا!$A$2:$AG$31,17,FALSE))</f>
        <v/>
      </c>
      <c r="T32" s="15"/>
      <c r="U32" s="11" t="str">
        <f>IF(ISBLANK(VLOOKUP($B32,بحرا!$A$2:$AG$31,18,FALSE)),"",VLOOKUP($B32,بحرا!$A$2:$AG$31,18,FALSE))</f>
        <v/>
      </c>
      <c r="V32" s="11" t="str">
        <f>IF(ISBLANK(VLOOKUP($B32,بحرا!$A$2:$AG$31,19,FALSE)),"",VLOOKUP($B32,بحرا!$A$2:$AG$31,19,FALSE))</f>
        <v/>
      </c>
      <c r="W32" s="11" t="str">
        <f>IF(ISBLANK(VLOOKUP($B32,بحرا!$A$2:$AG$31,20,FALSE)),"",VLOOKUP($B32,بحرا!$A$2:$AG$31,20,FALSE))</f>
        <v/>
      </c>
      <c r="X32" s="12">
        <f>IF(ISBLANK(VLOOKUP($B32,بحرا!$A$2:$AG$31,21,FALSE)),0,VLOOKUP($B32,بحرا!$A$2:$AG$31,21,FALSE))</f>
        <v>0</v>
      </c>
      <c r="Y32" s="12">
        <f>IF(ISBLANK(VLOOKUP($B32,بحرا!$A$2:$AG$31,22,FALSE)),0,VLOOKUP($B32,بحرا!$A$2:$AG$31,22,FALSE))</f>
        <v>0</v>
      </c>
      <c r="Z32" s="12">
        <f>IF(ISBLANK(VLOOKUP($B32,بحرا!$A$2:$AG$31,23,FALSE)),0,VLOOKUP($B32,بحرا!$A$2:$AG$31,23,FALSE))</f>
        <v>0</v>
      </c>
      <c r="AA32" s="12">
        <f>IF(ISBLANK(VLOOKUP($B32,بحرا!$A$2:$AG$31,24,FALSE)),0,VLOOKUP($B32,بحرا!$A$2:$AG$31,24,FALSE))</f>
        <v>0</v>
      </c>
      <c r="AB32" s="12">
        <f>IF(ISBLANK(VLOOKUP($B32,بحرا!$A$2:$AG$31,25,FALSE)),0,VLOOKUP($B32,بحرا!$A$2:$AG$31,25,FALSE))</f>
        <v>0</v>
      </c>
      <c r="AC32" s="12">
        <f>IF(ISBLANK(VLOOKUP($B32,بحرا!$A$2:$AG$31,26,FALSE)),0,VLOOKUP($B32,بحرا!$A$2:$AG$31,26,FALSE))</f>
        <v>0</v>
      </c>
      <c r="AD32" s="12">
        <f>IF(ISBLANK(VLOOKUP($B32,بحرا!$A$2:$AJ$31,27,FALSE)),0,VLOOKUP($B32,بحرا!$A$2:$AJ$31,27,FALSE))</f>
        <v>0</v>
      </c>
      <c r="AE32" s="12">
        <f>IF(ISBLANK(VLOOKUP($B32,بحرا!$A$2:$AJ$31,28,FALSE)),0,VLOOKUP($B32,بحرا!$A$2:$AJ$31,28,FALSE))</f>
        <v>0</v>
      </c>
      <c r="AF32" s="12">
        <f>IF(ISBLANK(VLOOKUP($B32,بحرا!$A$2:$AG$31,29,FALSE)),0,VLOOKUP($B32,بحرا!$A$2:$AG$31,29,FALSE))</f>
        <v>0</v>
      </c>
      <c r="AG32" s="12">
        <f>IF(ISBLANK(VLOOKUP($B32,بحرا!$A$2:$AG$31,30,FALSE)),0,VLOOKUP($B32,بحرا!$A$2:$AG$31,30,FALSE))</f>
        <v>0</v>
      </c>
      <c r="AH32" s="12">
        <f>IF(ISBLANK(VLOOKUP($B32,بحرا!$A$2:$AG$31,31,FALSE)),0,VLOOKUP($B32,بحرا!$A$2:$AG$31,31,FALSE))</f>
        <v>0</v>
      </c>
      <c r="AI32" s="12">
        <f>IF(ISBLANK(VLOOKUP($B32,بحرا!$A$2:$AG$31,32,FALSE)),0,VLOOKUP($B32,بحرا!$A$2:$AG$31,32,FALSE))</f>
        <v>0</v>
      </c>
      <c r="AJ32" s="12">
        <f>IF(ISBLANK(VLOOKUP($B32,بحرا!$A$2:$AJ$31,33,FALSE)),0,VLOOKUP($B32,بحرا!$A$2:$AJ$31,33,FALSE))</f>
        <v>0</v>
      </c>
      <c r="AK32" s="12">
        <f>IF(ISBLANK(VLOOKUP($B32,بحرا!$A$2:$AJ$31,34,FALSE)),0,VLOOKUP($B32,بحرا!$A$2:$AJ$31,34,FALSE))</f>
        <v>0</v>
      </c>
      <c r="AL32" s="12">
        <f>IF(ISBLANK(VLOOKUP($B32,بحرا!$A$2:$AJ$31,35,FALSE)),0,VLOOKUP($B32,بحرا!$A$2:$AJ$31,35,FALSE))</f>
        <v>0</v>
      </c>
      <c r="AM32" s="12">
        <f>IF(ISBLANK(VLOOKUP($B32,بحرا!$A$2:$AJ$31,36,FALSE)),0,VLOOKUP($B32,بحرا!$A$2:$AJ$31,36,FALSE))</f>
        <v>0</v>
      </c>
      <c r="AN32" s="13" t="str">
        <f t="shared" si="0"/>
        <v/>
      </c>
    </row>
    <row r="33" spans="2:40" ht="75.75" customHeight="1" thickTop="1" thickBot="1">
      <c r="B33" s="10" t="str">
        <f>بحرا!A26</f>
        <v>إقليم الحرس البحري بالشمال</v>
      </c>
      <c r="C33" s="11" t="str">
        <f>IF(ISBLANK(VLOOKUP($B33,بحرا!$A$2:$AG$31,3,FALSE)),"",VLOOKUP($B33,بحرا!$A$2:$AG$31,3,FALSE))</f>
        <v/>
      </c>
      <c r="D33" s="11" t="str">
        <f>IF(ISBLANK(VLOOKUP($B33,بحرا!$A$2:$AG$31,2,FALSE)),"",VLOOKUP($B33,بحرا!$A$2:$AG$31,2,FALSE))</f>
        <v/>
      </c>
      <c r="E33" s="11" t="str">
        <f>IF(ISBLANK(VLOOKUP($B33,بحرا!$A$2:$AG$31,4,FALSE)),"",VLOOKUP($B33,بحرا!$A$2:$AG$31,4,FALSE))</f>
        <v/>
      </c>
      <c r="F33" s="11" t="str">
        <f>IF(ISBLANK(VLOOKUP($B33,بحرا!$A$2:$AG$31,5,FALSE)),"",VLOOKUP($B33,بحرا!$A$2:$AG$31,5,FALSE))</f>
        <v/>
      </c>
      <c r="G33" s="11" t="str">
        <f>IF(ISBLANK(VLOOKUP($B33,بحرا!$A$2:$AG$31,6,FALSE)),"",VLOOKUP($B33,بحرا!$A$2:$AG$31,6,FALSE))</f>
        <v/>
      </c>
      <c r="H33" s="11" t="str">
        <f>IF(ISBLANK(VLOOKUP($B33,بحرا!$A$2:$AG$31,7,FALSE)),"",VLOOKUP($B33,بحرا!$A$2:$AG$31,7,FALSE))</f>
        <v/>
      </c>
      <c r="I33" s="11" t="str">
        <f>IF(ISBLANK(VLOOKUP($B33,بحرا!$A$2:$AG$31,8,FALSE)),"",VLOOKUP($B33,بحرا!$A$2:$AG$31,8,FALSE))</f>
        <v/>
      </c>
      <c r="J33" s="11" t="str">
        <f>IF(ISBLANK(VLOOKUP($B33,بحرا!$A$2:$AG$31,9,FALSE)),"",VLOOKUP($B33,بحرا!$A$2:$AG$31,9,FALSE))</f>
        <v/>
      </c>
      <c r="K33" s="11" t="str">
        <f>IF(ISBLANK(VLOOKUP($B33,بحرا!$A$2:$AG$31,10,FALSE)),"",VLOOKUP($B33,بحرا!$A$2:$AG$31,10,FALSE))</f>
        <v/>
      </c>
      <c r="L33" s="11" t="str">
        <f>IF(ISBLANK(VLOOKUP($B33,بحرا!$A$2:$AG$31,11,FALSE)),"",VLOOKUP($B33,بحرا!$A$2:$AG$31,11,FALSE))</f>
        <v/>
      </c>
      <c r="M33" s="11" t="str">
        <f>IF(ISBLANK(VLOOKUP($B33,بحرا!$A$2:$AG$31,12,FALSE)),"",VLOOKUP($B33,بحرا!$A$2:$AG$31,12,FALSE))</f>
        <v/>
      </c>
      <c r="N33" s="11" t="str">
        <f>IF(ISBLANK(VLOOKUP($B33,بحرا!$A$2:$AG$31,13,FALSE)),"",VLOOKUP($B33,بحرا!$A$2:$AG$31,13,FALSE))</f>
        <v/>
      </c>
      <c r="O33" s="11" t="str">
        <f>IF(ISBLANK(VLOOKUP($B33,بحرا!$A$2:$AG$31,14,FALSE)),"",VLOOKUP($B33,بحرا!$A$2:$AG$31,14,FALSE))</f>
        <v/>
      </c>
      <c r="P33" s="11" t="str">
        <f>IF(ISBLANK(VLOOKUP($B33,بحرا!$A$2:$AG$31,15,FALSE)),"",VLOOKUP($B33,بحرا!$A$2:$AG$31,15,FALSE))</f>
        <v/>
      </c>
      <c r="Q33" s="11" t="str">
        <f>IF(ISBLANK(VLOOKUP($B33,بحرا!$A$2:$AG$31,16,FALSE)),"",VLOOKUP($B33,بحرا!$A$2:$AG$31,16,FALSE))</f>
        <v/>
      </c>
      <c r="R33" s="15"/>
      <c r="S33" s="11" t="str">
        <f>IF(ISBLANK(VLOOKUP($B33,بحرا!$A$2:$AG$31,17,FALSE)),"",VLOOKUP($B33,بحرا!$A$2:$AG$31,17,FALSE))</f>
        <v/>
      </c>
      <c r="T33" s="15"/>
      <c r="U33" s="11" t="str">
        <f>IF(ISBLANK(VLOOKUP($B33,بحرا!$A$2:$AG$31,18,FALSE)),"",VLOOKUP($B33,بحرا!$A$2:$AG$31,18,FALSE))</f>
        <v/>
      </c>
      <c r="V33" s="11" t="str">
        <f>IF(ISBLANK(VLOOKUP($B33,بحرا!$A$2:$AG$31,19,FALSE)),"",VLOOKUP($B33,بحرا!$A$2:$AG$31,19,FALSE))</f>
        <v/>
      </c>
      <c r="W33" s="11" t="str">
        <f>IF(ISBLANK(VLOOKUP($B33,بحرا!$A$2:$AG$31,20,FALSE)),"",VLOOKUP($B33,بحرا!$A$2:$AG$31,20,FALSE))</f>
        <v/>
      </c>
      <c r="X33" s="12">
        <f>IF(ISBLANK(VLOOKUP($B33,بحرا!$A$2:$AG$31,21,FALSE)),0,VLOOKUP($B33,بحرا!$A$2:$AG$31,21,FALSE))</f>
        <v>0</v>
      </c>
      <c r="Y33" s="12">
        <f>IF(ISBLANK(VLOOKUP($B33,بحرا!$A$2:$AG$31,22,FALSE)),0,VLOOKUP($B33,بحرا!$A$2:$AG$31,22,FALSE))</f>
        <v>0</v>
      </c>
      <c r="Z33" s="12">
        <f>IF(ISBLANK(VLOOKUP($B33,بحرا!$A$2:$AG$31,23,FALSE)),0,VLOOKUP($B33,بحرا!$A$2:$AG$31,23,FALSE))</f>
        <v>0</v>
      </c>
      <c r="AA33" s="12">
        <f>IF(ISBLANK(VLOOKUP($B33,بحرا!$A$2:$AG$31,24,FALSE)),0,VLOOKUP($B33,بحرا!$A$2:$AG$31,24,FALSE))</f>
        <v>0</v>
      </c>
      <c r="AB33" s="12">
        <f>IF(ISBLANK(VLOOKUP($B33,بحرا!$A$2:$AG$31,25,FALSE)),0,VLOOKUP($B33,بحرا!$A$2:$AG$31,25,FALSE))</f>
        <v>0</v>
      </c>
      <c r="AC33" s="12">
        <f>IF(ISBLANK(VLOOKUP($B33,بحرا!$A$2:$AG$31,26,FALSE)),0,VLOOKUP($B33,بحرا!$A$2:$AG$31,26,FALSE))</f>
        <v>0</v>
      </c>
      <c r="AD33" s="12">
        <f>IF(ISBLANK(VLOOKUP($B33,بحرا!$A$2:$AJ$31,27,FALSE)),0,VLOOKUP($B33,بحرا!$A$2:$AJ$31,27,FALSE))</f>
        <v>0</v>
      </c>
      <c r="AE33" s="12">
        <f>IF(ISBLANK(VLOOKUP($B33,بحرا!$A$2:$AJ$31,28,FALSE)),0,VLOOKUP($B33,بحرا!$A$2:$AJ$31,28,FALSE))</f>
        <v>0</v>
      </c>
      <c r="AF33" s="12">
        <f>IF(ISBLANK(VLOOKUP($B33,بحرا!$A$2:$AG$31,29,FALSE)),0,VLOOKUP($B33,بحرا!$A$2:$AG$31,29,FALSE))</f>
        <v>0</v>
      </c>
      <c r="AG33" s="12">
        <f>IF(ISBLANK(VLOOKUP($B33,بحرا!$A$2:$AG$31,30,FALSE)),0,VLOOKUP($B33,بحرا!$A$2:$AG$31,30,FALSE))</f>
        <v>0</v>
      </c>
      <c r="AH33" s="12">
        <f>IF(ISBLANK(VLOOKUP($B33,بحرا!$A$2:$AG$31,31,FALSE)),0,VLOOKUP($B33,بحرا!$A$2:$AG$31,31,FALSE))</f>
        <v>0</v>
      </c>
      <c r="AI33" s="12">
        <f>IF(ISBLANK(VLOOKUP($B33,بحرا!$A$2:$AG$31,32,FALSE)),0,VLOOKUP($B33,بحرا!$A$2:$AG$31,32,FALSE))</f>
        <v>0</v>
      </c>
      <c r="AJ33" s="12">
        <f>IF(ISBLANK(VLOOKUP($B33,بحرا!$A$2:$AJ$31,33,FALSE)),0,VLOOKUP($B33,بحرا!$A$2:$AJ$31,33,FALSE))</f>
        <v>0</v>
      </c>
      <c r="AK33" s="12">
        <f>IF(ISBLANK(VLOOKUP($B33,بحرا!$A$2:$AJ$31,34,FALSE)),0,VLOOKUP($B33,بحرا!$A$2:$AJ$31,34,FALSE))</f>
        <v>0</v>
      </c>
      <c r="AL33" s="12">
        <f>IF(ISBLANK(VLOOKUP($B33,بحرا!$A$2:$AJ$31,35,FALSE)),0,VLOOKUP($B33,بحرا!$A$2:$AJ$31,35,FALSE))</f>
        <v>0</v>
      </c>
      <c r="AM33" s="12">
        <f>IF(ISBLANK(VLOOKUP($B33,بحرا!$A$2:$AJ$31,36,FALSE)),0,VLOOKUP($B33,بحرا!$A$2:$AJ$31,36,FALSE))</f>
        <v>0</v>
      </c>
      <c r="AN33" s="13" t="str">
        <f t="shared" si="0"/>
        <v/>
      </c>
    </row>
    <row r="34" spans="2:40" ht="108.75" customHeight="1" thickTop="1" thickBot="1">
      <c r="B34" s="10" t="str">
        <f>بحرا!A27</f>
        <v>إقليم الحرس البحري بالساحل</v>
      </c>
      <c r="C34" s="11" t="str">
        <f>IF(ISBLANK(VLOOKUP($B34,بحرا!$A$2:$AG$31,3,FALSE)),"",VLOOKUP($B34,بحرا!$A$2:$AG$31,3,FALSE))</f>
        <v/>
      </c>
      <c r="D34" s="11" t="str">
        <f>IF(ISBLANK(VLOOKUP($B34,بحرا!$A$2:$AG$31,2,FALSE)),"",VLOOKUP($B34,بحرا!$A$2:$AG$31,2,FALSE))</f>
        <v/>
      </c>
      <c r="E34" s="11" t="str">
        <f>IF(ISBLANK(VLOOKUP($B34,بحرا!$A$2:$AG$31,4,FALSE)),"",VLOOKUP($B34,بحرا!$A$2:$AG$31,4,FALSE))</f>
        <v/>
      </c>
      <c r="F34" s="11" t="str">
        <f>IF(ISBLANK(VLOOKUP($B34,بحرا!$A$2:$AG$31,5,FALSE)),"",VLOOKUP($B34,بحرا!$A$2:$AG$31,5,FALSE))</f>
        <v/>
      </c>
      <c r="G34" s="11" t="str">
        <f>IF(ISBLANK(VLOOKUP($B34,بحرا!$A$2:$AG$31,6,FALSE)),"",VLOOKUP($B34,بحرا!$A$2:$AG$31,6,FALSE))</f>
        <v/>
      </c>
      <c r="H34" s="11" t="str">
        <f>IF(ISBLANK(VLOOKUP($B34,بحرا!$A$2:$AG$31,7,FALSE)),"",VLOOKUP($B34,بحرا!$A$2:$AG$31,7,FALSE))</f>
        <v/>
      </c>
      <c r="I34" s="11" t="str">
        <f>IF(ISBLANK(VLOOKUP($B34,بحرا!$A$2:$AG$31,8,FALSE)),"",VLOOKUP($B34,بحرا!$A$2:$AG$31,8,FALSE))</f>
        <v/>
      </c>
      <c r="J34" s="11" t="str">
        <f>IF(ISBLANK(VLOOKUP($B34,بحرا!$A$2:$AG$31,9,FALSE)),"",VLOOKUP($B34,بحرا!$A$2:$AG$31,9,FALSE))</f>
        <v/>
      </c>
      <c r="K34" s="11" t="str">
        <f>IF(ISBLANK(VLOOKUP($B34,بحرا!$A$2:$AG$31,10,FALSE)),"",VLOOKUP($B34,بحرا!$A$2:$AG$31,10,FALSE))</f>
        <v/>
      </c>
      <c r="L34" s="11" t="str">
        <f>IF(ISBLANK(VLOOKUP($B34,بحرا!$A$2:$AG$31,11,FALSE)),"",VLOOKUP($B34,بحرا!$A$2:$AG$31,11,FALSE))</f>
        <v/>
      </c>
      <c r="M34" s="11" t="str">
        <f>IF(ISBLANK(VLOOKUP($B34,بحرا!$A$2:$AG$31,12,FALSE)),"",VLOOKUP($B34,بحرا!$A$2:$AG$31,12,FALSE))</f>
        <v/>
      </c>
      <c r="N34" s="11" t="str">
        <f>IF(ISBLANK(VLOOKUP($B34,بحرا!$A$2:$AG$31,13,FALSE)),"",VLOOKUP($B34,بحرا!$A$2:$AG$31,13,FALSE))</f>
        <v/>
      </c>
      <c r="O34" s="11" t="str">
        <f>IF(ISBLANK(VLOOKUP($B34,بحرا!$A$2:$AG$31,14,FALSE)),"",VLOOKUP($B34,بحرا!$A$2:$AG$31,14,FALSE))</f>
        <v/>
      </c>
      <c r="P34" s="11" t="str">
        <f>IF(ISBLANK(VLOOKUP($B34,بحرا!$A$2:$AG$31,15,FALSE)),"",VLOOKUP($B34,بحرا!$A$2:$AG$31,15,FALSE))</f>
        <v/>
      </c>
      <c r="Q34" s="11" t="str">
        <f>IF(ISBLANK(VLOOKUP($B34,بحرا!$A$2:$AG$31,16,FALSE)),"",VLOOKUP($B34,بحرا!$A$2:$AG$31,16,FALSE))</f>
        <v/>
      </c>
      <c r="R34" s="15"/>
      <c r="S34" s="11" t="str">
        <f>IF(ISBLANK(VLOOKUP($B34,بحرا!$A$2:$AG$31,17,FALSE)),"",VLOOKUP($B34,بحرا!$A$2:$AG$31,17,FALSE))</f>
        <v/>
      </c>
      <c r="T34" s="15"/>
      <c r="U34" s="11" t="str">
        <f>IF(ISBLANK(VLOOKUP($B34,بحرا!$A$2:$AG$31,18,FALSE)),"",VLOOKUP($B34,بحرا!$A$2:$AG$31,18,FALSE))</f>
        <v/>
      </c>
      <c r="V34" s="11" t="str">
        <f>IF(ISBLANK(VLOOKUP($B34,بحرا!$A$2:$AG$31,19,FALSE)),"",VLOOKUP($B34,بحرا!$A$2:$AG$31,19,FALSE))</f>
        <v/>
      </c>
      <c r="W34" s="11" t="str">
        <f>IF(ISBLANK(VLOOKUP($B34,بحرا!$A$2:$AG$31,20,FALSE)),"",VLOOKUP($B34,بحرا!$A$2:$AG$31,20,FALSE))</f>
        <v/>
      </c>
      <c r="X34" s="12">
        <f>IF(ISBLANK(VLOOKUP($B34,بحرا!$A$2:$AG$31,21,FALSE)),0,VLOOKUP($B34,بحرا!$A$2:$AG$31,21,FALSE))</f>
        <v>0</v>
      </c>
      <c r="Y34" s="12">
        <f>IF(ISBLANK(VLOOKUP($B34,بحرا!$A$2:$AG$31,22,FALSE)),0,VLOOKUP($B34,بحرا!$A$2:$AG$31,22,FALSE))</f>
        <v>0</v>
      </c>
      <c r="Z34" s="12">
        <f>IF(ISBLANK(VLOOKUP($B34,بحرا!$A$2:$AG$31,23,FALSE)),0,VLOOKUP($B34,بحرا!$A$2:$AG$31,23,FALSE))</f>
        <v>0</v>
      </c>
      <c r="AA34" s="12">
        <f>IF(ISBLANK(VLOOKUP($B34,بحرا!$A$2:$AG$31,24,FALSE)),0,VLOOKUP($B34,بحرا!$A$2:$AG$31,24,FALSE))</f>
        <v>0</v>
      </c>
      <c r="AB34" s="12">
        <f>IF(ISBLANK(VLOOKUP($B34,بحرا!$A$2:$AG$31,25,FALSE)),0,VLOOKUP($B34,بحرا!$A$2:$AG$31,25,FALSE))</f>
        <v>0</v>
      </c>
      <c r="AC34" s="12">
        <f>IF(ISBLANK(VLOOKUP($B34,بحرا!$A$2:$AG$31,26,FALSE)),0,VLOOKUP($B34,بحرا!$A$2:$AG$31,26,FALSE))</f>
        <v>0</v>
      </c>
      <c r="AD34" s="12">
        <f>IF(ISBLANK(VLOOKUP($B34,بحرا!$A$2:$AJ$31,27,FALSE)),0,VLOOKUP($B34,بحرا!$A$2:$AJ$31,27,FALSE))</f>
        <v>0</v>
      </c>
      <c r="AE34" s="12">
        <f>IF(ISBLANK(VLOOKUP($B34,بحرا!$A$2:$AJ$31,28,FALSE)),0,VLOOKUP($B34,بحرا!$A$2:$AJ$31,28,FALSE))</f>
        <v>0</v>
      </c>
      <c r="AF34" s="12">
        <f>IF(ISBLANK(VLOOKUP($B34,بحرا!$A$2:$AG$31,29,FALSE)),0,VLOOKUP($B34,بحرا!$A$2:$AG$31,29,FALSE))</f>
        <v>0</v>
      </c>
      <c r="AG34" s="12">
        <f>IF(ISBLANK(VLOOKUP($B34,بحرا!$A$2:$AG$31,30,FALSE)),0,VLOOKUP($B34,بحرا!$A$2:$AG$31,30,FALSE))</f>
        <v>0</v>
      </c>
      <c r="AH34" s="12">
        <f>IF(ISBLANK(VLOOKUP($B34,بحرا!$A$2:$AG$31,31,FALSE)),0,VLOOKUP($B34,بحرا!$A$2:$AG$31,31,FALSE))</f>
        <v>0</v>
      </c>
      <c r="AI34" s="12">
        <f>IF(ISBLANK(VLOOKUP($B34,بحرا!$A$2:$AG$31,32,FALSE)),0,VLOOKUP($B34,بحرا!$A$2:$AG$31,32,FALSE))</f>
        <v>0</v>
      </c>
      <c r="AJ34" s="12">
        <f>IF(ISBLANK(VLOOKUP($B34,بحرا!$A$2:$AJ$31,33,FALSE)),0,VLOOKUP($B34,بحرا!$A$2:$AJ$31,33,FALSE))</f>
        <v>0</v>
      </c>
      <c r="AK34" s="12">
        <f>IF(ISBLANK(VLOOKUP($B34,بحرا!$A$2:$AJ$31,34,FALSE)),0,VLOOKUP($B34,بحرا!$A$2:$AJ$31,34,FALSE))</f>
        <v>0</v>
      </c>
      <c r="AL34" s="12">
        <f>IF(ISBLANK(VLOOKUP($B34,بحرا!$A$2:$AJ$31,35,FALSE)),0,VLOOKUP($B34,بحرا!$A$2:$AJ$31,35,FALSE))</f>
        <v>0</v>
      </c>
      <c r="AM34" s="12">
        <f>IF(ISBLANK(VLOOKUP($B34,بحرا!$A$2:$AJ$31,36,FALSE)),0,VLOOKUP($B34,بحرا!$A$2:$AJ$31,36,FALSE))</f>
        <v>0</v>
      </c>
      <c r="AN34" s="13" t="str">
        <f t="shared" si="0"/>
        <v/>
      </c>
    </row>
    <row r="35" spans="2:40" ht="67.5" customHeight="1" thickTop="1" thickBot="1">
      <c r="B35" s="10" t="str">
        <f>بحرا!A28</f>
        <v>إقليم الحرس البحري بالجنوب</v>
      </c>
      <c r="C35" s="11" t="str">
        <f>IF(ISBLANK(VLOOKUP($B35,بحرا!$A$2:$AG$31,3,FALSE)),"",VLOOKUP($B35,بحرا!$A$2:$AG$31,3,FALSE))</f>
        <v/>
      </c>
      <c r="D35" s="11" t="str">
        <f>IF(ISBLANK(VLOOKUP($B35,بحرا!$A$2:$AG$31,2,FALSE)),"",VLOOKUP($B35,بحرا!$A$2:$AG$31,2,FALSE))</f>
        <v/>
      </c>
      <c r="E35" s="11" t="str">
        <f>IF(ISBLANK(VLOOKUP($B35,بحرا!$A$2:$AG$31,4,FALSE)),"",VLOOKUP($B35,بحرا!$A$2:$AG$31,4,FALSE))</f>
        <v/>
      </c>
      <c r="F35" s="11" t="str">
        <f>IF(ISBLANK(VLOOKUP($B35,بحرا!$A$2:$AG$31,5,FALSE)),"",VLOOKUP($B35,بحرا!$A$2:$AG$31,5,FALSE))</f>
        <v/>
      </c>
      <c r="G35" s="11" t="str">
        <f>IF(ISBLANK(VLOOKUP($B35,بحرا!$A$2:$AG$31,6,FALSE)),"",VLOOKUP($B35,بحرا!$A$2:$AG$31,6,FALSE))</f>
        <v/>
      </c>
      <c r="H35" s="11" t="str">
        <f>IF(ISBLANK(VLOOKUP($B35,بحرا!$A$2:$AG$31,7,FALSE)),"",VLOOKUP($B35,بحرا!$A$2:$AG$31,7,FALSE))</f>
        <v/>
      </c>
      <c r="I35" s="11" t="str">
        <f>IF(ISBLANK(VLOOKUP($B35,بحرا!$A$2:$AG$31,8,FALSE)),"",VLOOKUP($B35,بحرا!$A$2:$AG$31,8,FALSE))</f>
        <v/>
      </c>
      <c r="J35" s="11" t="str">
        <f>IF(ISBLANK(VLOOKUP($B35,بحرا!$A$2:$AG$31,9,FALSE)),"",VLOOKUP($B35,بحرا!$A$2:$AG$31,9,FALSE))</f>
        <v/>
      </c>
      <c r="K35" s="11" t="str">
        <f>IF(ISBLANK(VLOOKUP($B35,بحرا!$A$2:$AG$31,10,FALSE)),"",VLOOKUP($B35,بحرا!$A$2:$AG$31,10,FALSE))</f>
        <v/>
      </c>
      <c r="L35" s="11" t="str">
        <f>IF(ISBLANK(VLOOKUP($B35,بحرا!$A$2:$AG$31,11,FALSE)),"",VLOOKUP($B35,بحرا!$A$2:$AG$31,11,FALSE))</f>
        <v/>
      </c>
      <c r="M35" s="11" t="str">
        <f>IF(ISBLANK(VLOOKUP($B35,بحرا!$A$2:$AG$31,12,FALSE)),"",VLOOKUP($B35,بحرا!$A$2:$AG$31,12,FALSE))</f>
        <v/>
      </c>
      <c r="N35" s="11" t="str">
        <f>IF(ISBLANK(VLOOKUP($B35,بحرا!$A$2:$AG$31,13,FALSE)),"",VLOOKUP($B35,بحرا!$A$2:$AG$31,13,FALSE))</f>
        <v/>
      </c>
      <c r="O35" s="11" t="str">
        <f>IF(ISBLANK(VLOOKUP($B35,بحرا!$A$2:$AG$31,14,FALSE)),"",VLOOKUP($B35,بحرا!$A$2:$AG$31,14,FALSE))</f>
        <v/>
      </c>
      <c r="P35" s="11" t="str">
        <f>IF(ISBLANK(VLOOKUP($B35,بحرا!$A$2:$AG$31,15,FALSE)),"",VLOOKUP($B35,بحرا!$A$2:$AG$31,15,FALSE))</f>
        <v/>
      </c>
      <c r="Q35" s="11" t="str">
        <f>IF(ISBLANK(VLOOKUP($B35,بحرا!$A$2:$AG$31,16,FALSE)),"",VLOOKUP($B35,بحرا!$A$2:$AG$31,16,FALSE))</f>
        <v/>
      </c>
      <c r="R35" s="15"/>
      <c r="S35" s="11" t="str">
        <f>IF(ISBLANK(VLOOKUP($B35,بحرا!$A$2:$AG$31,17,FALSE)),"",VLOOKUP($B35,بحرا!$A$2:$AG$31,17,FALSE))</f>
        <v/>
      </c>
      <c r="T35" s="15"/>
      <c r="U35" s="11" t="str">
        <f>IF(ISBLANK(VLOOKUP($B35,بحرا!$A$2:$AG$31,18,FALSE)),"",VLOOKUP($B35,بحرا!$A$2:$AG$31,18,FALSE))</f>
        <v/>
      </c>
      <c r="V35" s="11" t="str">
        <f>IF(ISBLANK(VLOOKUP($B35,بحرا!$A$2:$AG$31,19,FALSE)),"",VLOOKUP($B35,بحرا!$A$2:$AG$31,19,FALSE))</f>
        <v/>
      </c>
      <c r="W35" s="11" t="str">
        <f>IF(ISBLANK(VLOOKUP($B35,بحرا!$A$2:$AG$31,20,FALSE)),"",VLOOKUP($B35,بحرا!$A$2:$AG$31,20,FALSE))</f>
        <v/>
      </c>
      <c r="X35" s="12">
        <f>IF(ISBLANK(VLOOKUP($B35,بحرا!$A$2:$AG$31,21,FALSE)),0,VLOOKUP($B35,بحرا!$A$2:$AG$31,21,FALSE))</f>
        <v>0</v>
      </c>
      <c r="Y35" s="12">
        <f>IF(ISBLANK(VLOOKUP($B35,بحرا!$A$2:$AG$31,22,FALSE)),0,VLOOKUP($B35,بحرا!$A$2:$AG$31,22,FALSE))</f>
        <v>0</v>
      </c>
      <c r="Z35" s="12">
        <f>IF(ISBLANK(VLOOKUP($B35,بحرا!$A$2:$AG$31,23,FALSE)),0,VLOOKUP($B35,بحرا!$A$2:$AG$31,23,FALSE))</f>
        <v>0</v>
      </c>
      <c r="AA35" s="12">
        <f>IF(ISBLANK(VLOOKUP($B35,بحرا!$A$2:$AG$31,24,FALSE)),0,VLOOKUP($B35,بحرا!$A$2:$AG$31,24,FALSE))</f>
        <v>0</v>
      </c>
      <c r="AB35" s="12">
        <f>IF(ISBLANK(VLOOKUP($B35,بحرا!$A$2:$AG$31,25,FALSE)),0,VLOOKUP($B35,بحرا!$A$2:$AG$31,25,FALSE))</f>
        <v>0</v>
      </c>
      <c r="AC35" s="12">
        <f>IF(ISBLANK(VLOOKUP($B35,بحرا!$A$2:$AG$31,26,FALSE)),0,VLOOKUP($B35,بحرا!$A$2:$AG$31,26,FALSE))</f>
        <v>0</v>
      </c>
      <c r="AD35" s="12">
        <f>IF(ISBLANK(VLOOKUP($B35,بحرا!$A$2:$AJ$31,27,FALSE)),0,VLOOKUP($B35,بحرا!$A$2:$AJ$31,27,FALSE))</f>
        <v>0</v>
      </c>
      <c r="AE35" s="12">
        <f>IF(ISBLANK(VLOOKUP($B35,بحرا!$A$2:$AJ$31,28,FALSE)),0,VLOOKUP($B35,بحرا!$A$2:$AJ$31,28,FALSE))</f>
        <v>0</v>
      </c>
      <c r="AF35" s="12">
        <f>IF(ISBLANK(VLOOKUP($B35,بحرا!$A$2:$AG$31,29,FALSE)),0,VLOOKUP($B35,بحرا!$A$2:$AG$31,29,FALSE))</f>
        <v>0</v>
      </c>
      <c r="AG35" s="12">
        <f>IF(ISBLANK(VLOOKUP($B35,بحرا!$A$2:$AG$31,30,FALSE)),0,VLOOKUP($B35,بحرا!$A$2:$AG$31,30,FALSE))</f>
        <v>0</v>
      </c>
      <c r="AH35" s="12">
        <f>IF(ISBLANK(VLOOKUP($B35,بحرا!$A$2:$AG$31,31,FALSE)),0,VLOOKUP($B35,بحرا!$A$2:$AG$31,31,FALSE))</f>
        <v>0</v>
      </c>
      <c r="AI35" s="12">
        <f>IF(ISBLANK(VLOOKUP($B35,بحرا!$A$2:$AG$31,32,FALSE)),0,VLOOKUP($B35,بحرا!$A$2:$AG$31,32,FALSE))</f>
        <v>0</v>
      </c>
      <c r="AJ35" s="12">
        <f>IF(ISBLANK(VLOOKUP($B35,بحرا!$A$2:$AJ$31,33,FALSE)),0,VLOOKUP($B35,بحرا!$A$2:$AJ$31,33,FALSE))</f>
        <v>0</v>
      </c>
      <c r="AK35" s="12">
        <f>IF(ISBLANK(VLOOKUP($B35,بحرا!$A$2:$AJ$31,34,FALSE)),0,VLOOKUP($B35,بحرا!$A$2:$AJ$31,34,FALSE))</f>
        <v>0</v>
      </c>
      <c r="AL35" s="12">
        <f>IF(ISBLANK(VLOOKUP($B35,بحرا!$A$2:$AJ$31,35,FALSE)),0,VLOOKUP($B35,بحرا!$A$2:$AJ$31,35,FALSE))</f>
        <v>0</v>
      </c>
      <c r="AM35" s="12">
        <f>IF(ISBLANK(VLOOKUP($B35,بحرا!$A$2:$AJ$31,36,FALSE)),0,VLOOKUP($B35,بحرا!$A$2:$AJ$31,36,FALSE))</f>
        <v>0</v>
      </c>
      <c r="AN35" s="13" t="str">
        <f t="shared" si="0"/>
        <v/>
      </c>
    </row>
    <row r="36" spans="2:40" ht="48" customHeight="1" thickTop="1" thickBot="1">
      <c r="B36" s="10" t="str">
        <f>بحرا!A29</f>
        <v>أريانة</v>
      </c>
      <c r="C36" s="11" t="str">
        <f>IF(ISBLANK(VLOOKUP($B36,بحرا!$A$2:$AG$31,3,FALSE)),"",VLOOKUP($B36,بحرا!$A$2:$AG$31,3,FALSE))</f>
        <v/>
      </c>
      <c r="D36" s="11" t="str">
        <f>IF(ISBLANK(VLOOKUP($B36,بحرا!$A$2:$AG$31,2,FALSE)),"",VLOOKUP($B36,بحرا!$A$2:$AG$31,2,FALSE))</f>
        <v/>
      </c>
      <c r="E36" s="11" t="str">
        <f>IF(ISBLANK(VLOOKUP($B36,بحرا!$A$2:$AG$31,4,FALSE)),"",VLOOKUP($B36,بحرا!$A$2:$AG$31,4,FALSE))</f>
        <v/>
      </c>
      <c r="F36" s="11" t="str">
        <f>IF(ISBLANK(VLOOKUP($B36,بحرا!$A$2:$AG$31,5,FALSE)),"",VLOOKUP($B36,بحرا!$A$2:$AG$31,5,FALSE))</f>
        <v/>
      </c>
      <c r="G36" s="11" t="str">
        <f>IF(ISBLANK(VLOOKUP($B36,بحرا!$A$2:$AG$31,6,FALSE)),"",VLOOKUP($B36,بحرا!$A$2:$AG$31,6,FALSE))</f>
        <v/>
      </c>
      <c r="H36" s="11" t="str">
        <f>IF(ISBLANK(VLOOKUP($B36,بحرا!$A$2:$AG$31,7,FALSE)),"",VLOOKUP($B36,بحرا!$A$2:$AG$31,7,FALSE))</f>
        <v/>
      </c>
      <c r="I36" s="11" t="str">
        <f>IF(ISBLANK(VLOOKUP($B36,بحرا!$A$2:$AG$31,8,FALSE)),"",VLOOKUP($B36,بحرا!$A$2:$AG$31,8,FALSE))</f>
        <v/>
      </c>
      <c r="J36" s="11" t="str">
        <f>IF(ISBLANK(VLOOKUP($B36,بحرا!$A$2:$AG$31,9,FALSE)),"",VLOOKUP($B36,بحرا!$A$2:$AG$31,9,FALSE))</f>
        <v/>
      </c>
      <c r="K36" s="11" t="str">
        <f>IF(ISBLANK(VLOOKUP($B36,بحرا!$A$2:$AG$31,10,FALSE)),"",VLOOKUP($B36,بحرا!$A$2:$AG$31,10,FALSE))</f>
        <v/>
      </c>
      <c r="L36" s="11" t="str">
        <f>IF(ISBLANK(VLOOKUP($B36,بحرا!$A$2:$AG$31,11,FALSE)),"",VLOOKUP($B36,بحرا!$A$2:$AG$31,11,FALSE))</f>
        <v/>
      </c>
      <c r="M36" s="11" t="str">
        <f>IF(ISBLANK(VLOOKUP($B36,بحرا!$A$2:$AG$31,12,FALSE)),"",VLOOKUP($B36,بحرا!$A$2:$AG$31,12,FALSE))</f>
        <v/>
      </c>
      <c r="N36" s="11" t="str">
        <f>IF(ISBLANK(VLOOKUP($B36,بحرا!$A$2:$AG$31,13,FALSE)),"",VLOOKUP($B36,بحرا!$A$2:$AG$31,13,FALSE))</f>
        <v/>
      </c>
      <c r="O36" s="11" t="str">
        <f>IF(ISBLANK(VLOOKUP($B36,بحرا!$A$2:$AG$31,14,FALSE)),"",VLOOKUP($B36,بحرا!$A$2:$AG$31,14,FALSE))</f>
        <v/>
      </c>
      <c r="P36" s="11" t="str">
        <f>IF(ISBLANK(VLOOKUP($B36,بحرا!$A$2:$AG$31,15,FALSE)),"",VLOOKUP($B36,بحرا!$A$2:$AG$31,15,FALSE))</f>
        <v/>
      </c>
      <c r="Q36" s="11" t="str">
        <f>IF(ISBLANK(VLOOKUP($B36,بحرا!$A$2:$AG$31,16,FALSE)),"",VLOOKUP($B36,بحرا!$A$2:$AG$31,16,FALSE))</f>
        <v/>
      </c>
      <c r="R36" s="15"/>
      <c r="S36" s="11" t="str">
        <f>IF(ISBLANK(VLOOKUP($B36,بحرا!$A$2:$AG$31,17,FALSE)),"",VLOOKUP($B36,بحرا!$A$2:$AG$31,17,FALSE))</f>
        <v/>
      </c>
      <c r="T36" s="15"/>
      <c r="U36" s="11" t="str">
        <f>IF(ISBLANK(VLOOKUP($B36,بحرا!$A$2:$AG$31,18,FALSE)),"",VLOOKUP($B36,بحرا!$A$2:$AG$31,18,FALSE))</f>
        <v/>
      </c>
      <c r="V36" s="11" t="str">
        <f>IF(ISBLANK(VLOOKUP($B36,بحرا!$A$2:$AG$31,19,FALSE)),"",VLOOKUP($B36,بحرا!$A$2:$AG$31,19,FALSE))</f>
        <v/>
      </c>
      <c r="W36" s="11" t="str">
        <f>IF(ISBLANK(VLOOKUP($B36,بحرا!$A$2:$AG$31,20,FALSE)),"",VLOOKUP($B36,بحرا!$A$2:$AG$31,20,FALSE))</f>
        <v/>
      </c>
      <c r="X36" s="12">
        <f>IF(ISBLANK(VLOOKUP($B36,بحرا!$A$2:$AG$31,21,FALSE)),0,VLOOKUP($B36,بحرا!$A$2:$AG$31,21,FALSE))</f>
        <v>0</v>
      </c>
      <c r="Y36" s="12">
        <f>IF(ISBLANK(VLOOKUP($B36,بحرا!$A$2:$AG$31,22,FALSE)),0,VLOOKUP($B36,بحرا!$A$2:$AG$31,22,FALSE))</f>
        <v>0</v>
      </c>
      <c r="Z36" s="12">
        <f>IF(ISBLANK(VLOOKUP($B36,بحرا!$A$2:$AG$31,23,FALSE)),0,VLOOKUP($B36,بحرا!$A$2:$AG$31,23,FALSE))</f>
        <v>0</v>
      </c>
      <c r="AA36" s="12">
        <f>IF(ISBLANK(VLOOKUP($B36,بحرا!$A$2:$AG$31,24,FALSE)),0,VLOOKUP($B36,بحرا!$A$2:$AG$31,24,FALSE))</f>
        <v>0</v>
      </c>
      <c r="AB36" s="12">
        <f>IF(ISBLANK(VLOOKUP($B36,بحرا!$A$2:$AG$31,25,FALSE)),0,VLOOKUP($B36,بحرا!$A$2:$AG$31,25,FALSE))</f>
        <v>0</v>
      </c>
      <c r="AC36" s="12">
        <f>IF(ISBLANK(VLOOKUP($B36,بحرا!$A$2:$AG$31,26,FALSE)),0,VLOOKUP($B36,بحرا!$A$2:$AG$31,26,FALSE))</f>
        <v>0</v>
      </c>
      <c r="AD36" s="12">
        <f>IF(ISBLANK(VLOOKUP($B36,بحرا!$A$2:$AJ$31,27,FALSE)),0,VLOOKUP($B36,بحرا!$A$2:$AJ$31,27,FALSE))</f>
        <v>0</v>
      </c>
      <c r="AE36" s="12">
        <f>IF(ISBLANK(VLOOKUP($B36,بحرا!$A$2:$AJ$31,28,FALSE)),0,VLOOKUP($B36,بحرا!$A$2:$AJ$31,28,FALSE))</f>
        <v>0</v>
      </c>
      <c r="AF36" s="12">
        <f>IF(ISBLANK(VLOOKUP($B36,بحرا!$A$2:$AG$31,29,FALSE)),0,VLOOKUP($B36,بحرا!$A$2:$AG$31,29,FALSE))</f>
        <v>0</v>
      </c>
      <c r="AG36" s="12">
        <f>IF(ISBLANK(VLOOKUP($B36,بحرا!$A$2:$AG$31,30,FALSE)),0,VLOOKUP($B36,بحرا!$A$2:$AG$31,30,FALSE))</f>
        <v>0</v>
      </c>
      <c r="AH36" s="12">
        <f>IF(ISBLANK(VLOOKUP($B36,بحرا!$A$2:$AG$31,31,FALSE)),0,VLOOKUP($B36,بحرا!$A$2:$AG$31,31,FALSE))</f>
        <v>0</v>
      </c>
      <c r="AI36" s="12">
        <f>IF(ISBLANK(VLOOKUP($B36,بحرا!$A$2:$AG$31,32,FALSE)),0,VLOOKUP($B36,بحرا!$A$2:$AG$31,32,FALSE))</f>
        <v>0</v>
      </c>
      <c r="AJ36" s="12">
        <f>IF(ISBLANK(VLOOKUP($B36,بحرا!$A$2:$AJ$31,33,FALSE)),0,VLOOKUP($B36,بحرا!$A$2:$AJ$31,33,FALSE))</f>
        <v>0</v>
      </c>
      <c r="AK36" s="12">
        <f>IF(ISBLANK(VLOOKUP($B36,بحرا!$A$2:$AJ$31,34,FALSE)),0,VLOOKUP($B36,بحرا!$A$2:$AJ$31,34,FALSE))</f>
        <v>0</v>
      </c>
      <c r="AL36" s="12">
        <f>IF(ISBLANK(VLOOKUP($B36,بحرا!$A$2:$AJ$31,35,FALSE)),0,VLOOKUP($B36,بحرا!$A$2:$AJ$31,35,FALSE))</f>
        <v>0</v>
      </c>
      <c r="AM36" s="12">
        <f>IF(ISBLANK(VLOOKUP($B36,بحرا!$A$2:$AJ$31,36,FALSE)),0,VLOOKUP($B36,بحرا!$A$2:$AJ$31,36,FALSE))</f>
        <v>0</v>
      </c>
      <c r="AN36" s="13" t="str">
        <f t="shared" si="0"/>
        <v/>
      </c>
    </row>
    <row r="37" spans="2:40" ht="48" customHeight="1" thickTop="1" thickBot="1">
      <c r="B37" s="10" t="str">
        <f>بحرا!A30</f>
        <v>إدارة حرس المرور</v>
      </c>
      <c r="C37" s="11" t="str">
        <f>IF(ISBLANK(VLOOKUP($B37,بحرا!$A$2:$AG$31,3,FALSE)),"",VLOOKUP($B37,بحرا!$A$2:$AG$31,3,FALSE))</f>
        <v/>
      </c>
      <c r="D37" s="11" t="str">
        <f>IF(ISBLANK(VLOOKUP($B37,بحرا!$A$2:$AG$31,2,FALSE)),"",VLOOKUP($B37,بحرا!$A$2:$AG$31,2,FALSE))</f>
        <v/>
      </c>
      <c r="E37" s="11" t="str">
        <f>IF(ISBLANK(VLOOKUP($B37,بحرا!$A$2:$AG$31,4,FALSE)),"",VLOOKUP($B37,بحرا!$A$2:$AG$31,4,FALSE))</f>
        <v/>
      </c>
      <c r="F37" s="11" t="str">
        <f>IF(ISBLANK(VLOOKUP($B37,بحرا!$A$2:$AG$31,5,FALSE)),"",VLOOKUP($B37,بحرا!$A$2:$AG$31,5,FALSE))</f>
        <v/>
      </c>
      <c r="G37" s="11" t="str">
        <f>IF(ISBLANK(VLOOKUP($B37,بحرا!$A$2:$AG$31,6,FALSE)),"",VLOOKUP($B37,بحرا!$A$2:$AG$31,6,FALSE))</f>
        <v/>
      </c>
      <c r="H37" s="11" t="str">
        <f>IF(ISBLANK(VLOOKUP($B37,بحرا!$A$2:$AG$31,7,FALSE)),"",VLOOKUP($B37,بحرا!$A$2:$AG$31,7,FALSE))</f>
        <v/>
      </c>
      <c r="I37" s="11" t="str">
        <f>IF(ISBLANK(VLOOKUP($B37,بحرا!$A$2:$AG$31,8,FALSE)),"",VLOOKUP($B37,بحرا!$A$2:$AG$31,8,FALSE))</f>
        <v/>
      </c>
      <c r="J37" s="11" t="str">
        <f>IF(ISBLANK(VLOOKUP($B37,بحرا!$A$2:$AG$31,9,FALSE)),"",VLOOKUP($B37,بحرا!$A$2:$AG$31,9,FALSE))</f>
        <v/>
      </c>
      <c r="K37" s="11" t="str">
        <f>IF(ISBLANK(VLOOKUP($B37,بحرا!$A$2:$AG$31,10,FALSE)),"",VLOOKUP($B37,بحرا!$A$2:$AG$31,10,FALSE))</f>
        <v/>
      </c>
      <c r="L37" s="11" t="str">
        <f>IF(ISBLANK(VLOOKUP($B37,بحرا!$A$2:$AG$31,11,FALSE)),"",VLOOKUP($B37,بحرا!$A$2:$AG$31,11,FALSE))</f>
        <v/>
      </c>
      <c r="M37" s="11" t="str">
        <f>IF(ISBLANK(VLOOKUP($B37,بحرا!$A$2:$AG$31,12,FALSE)),"",VLOOKUP($B37,بحرا!$A$2:$AG$31,12,FALSE))</f>
        <v/>
      </c>
      <c r="N37" s="11" t="str">
        <f>IF(ISBLANK(VLOOKUP($B37,بحرا!$A$2:$AG$31,13,FALSE)),"",VLOOKUP($B37,بحرا!$A$2:$AG$31,13,FALSE))</f>
        <v/>
      </c>
      <c r="O37" s="11" t="str">
        <f>IF(ISBLANK(VLOOKUP($B37,بحرا!$A$2:$AG$31,14,FALSE)),"",VLOOKUP($B37,بحرا!$A$2:$AG$31,14,FALSE))</f>
        <v/>
      </c>
      <c r="P37" s="11" t="str">
        <f>IF(ISBLANK(VLOOKUP($B37,بحرا!$A$2:$AG$31,15,FALSE)),"",VLOOKUP($B37,بحرا!$A$2:$AG$31,15,FALSE))</f>
        <v/>
      </c>
      <c r="Q37" s="11" t="str">
        <f>IF(ISBLANK(VLOOKUP($B37,بحرا!$A$2:$AG$31,16,FALSE)),"",VLOOKUP($B37,بحرا!$A$2:$AG$31,16,FALSE))</f>
        <v/>
      </c>
      <c r="R37" s="15"/>
      <c r="S37" s="11" t="str">
        <f>IF(ISBLANK(VLOOKUP($B37,بحرا!$A$2:$AG$31,17,FALSE)),"",VLOOKUP($B37,بحرا!$A$2:$AG$31,17,FALSE))</f>
        <v/>
      </c>
      <c r="T37" s="15"/>
      <c r="U37" s="11" t="str">
        <f>IF(ISBLANK(VLOOKUP($B37,بحرا!$A$2:$AG$31,18,FALSE)),"",VLOOKUP($B37,بحرا!$A$2:$AG$31,18,FALSE))</f>
        <v/>
      </c>
      <c r="V37" s="11" t="str">
        <f>IF(ISBLANK(VLOOKUP($B37,بحرا!$A$2:$AG$31,19,FALSE)),"",VLOOKUP($B37,بحرا!$A$2:$AG$31,19,FALSE))</f>
        <v/>
      </c>
      <c r="W37" s="11" t="str">
        <f>IF(ISBLANK(VLOOKUP($B37,بحرا!$A$2:$AG$31,20,FALSE)),"",VLOOKUP($B37,بحرا!$A$2:$AG$31,20,FALSE))</f>
        <v/>
      </c>
      <c r="X37" s="12">
        <f>IF(ISBLANK(VLOOKUP($B37,بحرا!$A$2:$AG$31,21,FALSE)),0,VLOOKUP($B37,بحرا!$A$2:$AG$31,21,FALSE))</f>
        <v>0</v>
      </c>
      <c r="Y37" s="12">
        <f>IF(ISBLANK(VLOOKUP($B37,بحرا!$A$2:$AG$31,22,FALSE)),0,VLOOKUP($B37,بحرا!$A$2:$AG$31,22,FALSE))</f>
        <v>0</v>
      </c>
      <c r="Z37" s="12">
        <f>IF(ISBLANK(VLOOKUP($B37,بحرا!$A$2:$AG$31,23,FALSE)),0,VLOOKUP($B37,بحرا!$A$2:$AG$31,23,FALSE))</f>
        <v>0</v>
      </c>
      <c r="AA37" s="12">
        <f>IF(ISBLANK(VLOOKUP($B37,بحرا!$A$2:$AG$31,24,FALSE)),0,VLOOKUP($B37,بحرا!$A$2:$AG$31,24,FALSE))</f>
        <v>0</v>
      </c>
      <c r="AB37" s="12">
        <f>IF(ISBLANK(VLOOKUP($B37,بحرا!$A$2:$AG$31,25,FALSE)),0,VLOOKUP($B37,بحرا!$A$2:$AG$31,25,FALSE))</f>
        <v>0</v>
      </c>
      <c r="AC37" s="12">
        <f>IF(ISBLANK(VLOOKUP($B37,بحرا!$A$2:$AG$31,26,FALSE)),0,VLOOKUP($B37,بحرا!$A$2:$AG$31,26,FALSE))</f>
        <v>0</v>
      </c>
      <c r="AD37" s="12">
        <f>IF(ISBLANK(VLOOKUP($B37,بحرا!$A$2:$AJ$31,27,FALSE)),0,VLOOKUP($B37,بحرا!$A$2:$AJ$31,27,FALSE))</f>
        <v>0</v>
      </c>
      <c r="AE37" s="12">
        <f>IF(ISBLANK(VLOOKUP($B37,بحرا!$A$2:$AJ$31,28,FALSE)),0,VLOOKUP($B37,بحرا!$A$2:$AJ$31,28,FALSE))</f>
        <v>0</v>
      </c>
      <c r="AF37" s="12">
        <f>IF(ISBLANK(VLOOKUP($B37,بحرا!$A$2:$AG$31,29,FALSE)),0,VLOOKUP($B37,بحرا!$A$2:$AG$31,29,FALSE))</f>
        <v>0</v>
      </c>
      <c r="AG37" s="12">
        <f>IF(ISBLANK(VLOOKUP($B37,بحرا!$A$2:$AG$31,30,FALSE)),0,VLOOKUP($B37,بحرا!$A$2:$AG$31,30,FALSE))</f>
        <v>0</v>
      </c>
      <c r="AH37" s="12">
        <f>IF(ISBLANK(VLOOKUP($B37,بحرا!$A$2:$AG$31,31,FALSE)),0,VLOOKUP($B37,بحرا!$A$2:$AG$31,31,FALSE))</f>
        <v>0</v>
      </c>
      <c r="AI37" s="12">
        <f>IF(ISBLANK(VLOOKUP($B37,بحرا!$A$2:$AG$31,32,FALSE)),0,VLOOKUP($B37,بحرا!$A$2:$AG$31,32,FALSE))</f>
        <v>0</v>
      </c>
      <c r="AJ37" s="12">
        <f>IF(ISBLANK(VLOOKUP($B37,بحرا!$A$2:$AJ$31,33,FALSE)),0,VLOOKUP($B37,بحرا!$A$2:$AJ$31,33,FALSE))</f>
        <v>0</v>
      </c>
      <c r="AK37" s="12">
        <f>IF(ISBLANK(VLOOKUP($B37,بحرا!$A$2:$AJ$31,34,FALSE)),0,VLOOKUP($B37,بحرا!$A$2:$AJ$31,34,FALSE))</f>
        <v>0</v>
      </c>
      <c r="AL37" s="12">
        <f>IF(ISBLANK(VLOOKUP($B37,بحرا!$A$2:$AJ$31,35,FALSE)),0,VLOOKUP($B37,بحرا!$A$2:$AJ$31,35,FALSE))</f>
        <v>0</v>
      </c>
      <c r="AM37" s="12">
        <f>IF(ISBLANK(VLOOKUP($B37,بحرا!$A$2:$AJ$31,36,FALSE)),0,VLOOKUP($B37,بحرا!$A$2:$AJ$31,36,FALSE))</f>
        <v>0</v>
      </c>
      <c r="AN37" s="13" t="str">
        <f t="shared" si="0"/>
        <v/>
      </c>
    </row>
    <row r="38" spans="2:40" ht="56.25" customHeight="1" thickTop="1" thickBot="1">
      <c r="B38" s="10" t="str">
        <f>بحرا!A31</f>
        <v>إدارة الشؤون العدلية</v>
      </c>
      <c r="C38" s="11" t="str">
        <f>IF(ISBLANK(VLOOKUP($B38,بحرا!$A$2:$AG$31,3,FALSE)),"",VLOOKUP($B38,بحرا!$A$2:$AG$31,3,FALSE))</f>
        <v/>
      </c>
      <c r="D38" s="11" t="str">
        <f>IF(ISBLANK(VLOOKUP($B38,بحرا!$A$2:$AG$31,2,FALSE)),"",VLOOKUP($B38,بحرا!$A$2:$AG$31,2,FALSE))</f>
        <v/>
      </c>
      <c r="E38" s="11" t="str">
        <f>IF(ISBLANK(VLOOKUP($B38,بحرا!$A$2:$AG$31,4,FALSE)),"",VLOOKUP($B38,بحرا!$A$2:$AG$31,4,FALSE))</f>
        <v/>
      </c>
      <c r="F38" s="11" t="str">
        <f>IF(ISBLANK(VLOOKUP($B38,بحرا!$A$2:$AG$31,5,FALSE)),"",VLOOKUP($B38,بحرا!$A$2:$AG$31,5,FALSE))</f>
        <v/>
      </c>
      <c r="G38" s="11" t="str">
        <f>IF(ISBLANK(VLOOKUP($B38,بحرا!$A$2:$AG$31,6,FALSE)),"",VLOOKUP($B38,بحرا!$A$2:$AG$31,6,FALSE))</f>
        <v/>
      </c>
      <c r="H38" s="11" t="str">
        <f>IF(ISBLANK(VLOOKUP($B38,بحرا!$A$2:$AG$31,7,FALSE)),"",VLOOKUP($B38,بحرا!$A$2:$AG$31,7,FALSE))</f>
        <v/>
      </c>
      <c r="I38" s="11" t="str">
        <f>IF(ISBLANK(VLOOKUP($B38,بحرا!$A$2:$AG$31,8,FALSE)),"",VLOOKUP($B38,بحرا!$A$2:$AG$31,8,FALSE))</f>
        <v/>
      </c>
      <c r="J38" s="11" t="str">
        <f>IF(ISBLANK(VLOOKUP($B38,بحرا!$A$2:$AG$31,9,FALSE)),"",VLOOKUP($B38,بحرا!$A$2:$AG$31,9,FALSE))</f>
        <v/>
      </c>
      <c r="K38" s="11" t="str">
        <f>IF(ISBLANK(VLOOKUP($B38,بحرا!$A$2:$AG$31,10,FALSE)),"",VLOOKUP($B38,بحرا!$A$2:$AG$31,10,FALSE))</f>
        <v/>
      </c>
      <c r="L38" s="11" t="str">
        <f>IF(ISBLANK(VLOOKUP($B38,بحرا!$A$2:$AG$31,11,FALSE)),"",VLOOKUP($B38,بحرا!$A$2:$AG$31,11,FALSE))</f>
        <v/>
      </c>
      <c r="M38" s="11" t="str">
        <f>IF(ISBLANK(VLOOKUP($B38,بحرا!$A$2:$AG$31,12,FALSE)),"",VLOOKUP($B38,بحرا!$A$2:$AG$31,12,FALSE))</f>
        <v/>
      </c>
      <c r="N38" s="11" t="str">
        <f>IF(ISBLANK(VLOOKUP($B38,بحرا!$A$2:$AG$31,13,FALSE)),"",VLOOKUP($B38,بحرا!$A$2:$AG$31,13,FALSE))</f>
        <v/>
      </c>
      <c r="O38" s="11" t="str">
        <f>IF(ISBLANK(VLOOKUP($B38,بحرا!$A$2:$AG$31,14,FALSE)),"",VLOOKUP($B38,بحرا!$A$2:$AG$31,14,FALSE))</f>
        <v/>
      </c>
      <c r="P38" s="11" t="str">
        <f>IF(ISBLANK(VLOOKUP($B38,بحرا!$A$2:$AG$31,15,FALSE)),"",VLOOKUP($B38,بحرا!$A$2:$AG$31,15,FALSE))</f>
        <v/>
      </c>
      <c r="Q38" s="11" t="str">
        <f>IF(ISBLANK(VLOOKUP($B38,بحرا!$A$2:$AG$31,16,FALSE)),"",VLOOKUP($B38,بحرا!$A$2:$AG$31,16,FALSE))</f>
        <v/>
      </c>
      <c r="R38" s="15"/>
      <c r="S38" s="11" t="str">
        <f>IF(ISBLANK(VLOOKUP($B38,بحرا!$A$2:$AG$31,17,FALSE)),"",VLOOKUP($B38,بحرا!$A$2:$AG$31,17,FALSE))</f>
        <v/>
      </c>
      <c r="T38" s="15"/>
      <c r="U38" s="11" t="str">
        <f>IF(ISBLANK(VLOOKUP($B38,بحرا!$A$2:$AG$31,18,FALSE)),"",VLOOKUP($B38,بحرا!$A$2:$AG$31,18,FALSE))</f>
        <v/>
      </c>
      <c r="V38" s="11" t="str">
        <f>IF(ISBLANK(VLOOKUP($B38,بحرا!$A$2:$AG$31,19,FALSE)),"",VLOOKUP($B38,بحرا!$A$2:$AG$31,19,FALSE))</f>
        <v/>
      </c>
      <c r="W38" s="11" t="str">
        <f>IF(ISBLANK(VLOOKUP($B38,بحرا!$A$2:$AG$31,20,FALSE)),"",VLOOKUP($B38,بحرا!$A$2:$AG$31,20,FALSE))</f>
        <v/>
      </c>
      <c r="X38" s="12">
        <f>IF(ISBLANK(VLOOKUP($B38,بحرا!$A$2:$AG$31,21,FALSE)),0,VLOOKUP($B38,بحرا!$A$2:$AG$31,21,FALSE))</f>
        <v>0</v>
      </c>
      <c r="Y38" s="12">
        <f>IF(ISBLANK(VLOOKUP($B38,بحرا!$A$2:$AG$31,22,FALSE)),0,VLOOKUP($B38,بحرا!$A$2:$AG$31,22,FALSE))</f>
        <v>0</v>
      </c>
      <c r="Z38" s="12">
        <f>IF(ISBLANK(VLOOKUP($B38,بحرا!$A$2:$AG$31,23,FALSE)),0,VLOOKUP($B38,بحرا!$A$2:$AG$31,23,FALSE))</f>
        <v>0</v>
      </c>
      <c r="AA38" s="12">
        <f>IF(ISBLANK(VLOOKUP($B38,بحرا!$A$2:$AG$31,24,FALSE)),0,VLOOKUP($B38,بحرا!$A$2:$AG$31,24,FALSE))</f>
        <v>0</v>
      </c>
      <c r="AB38" s="12">
        <f>IF(ISBLANK(VLOOKUP($B38,بحرا!$A$2:$AG$31,25,FALSE)),0,VLOOKUP($B38,بحرا!$A$2:$AG$31,25,FALSE))</f>
        <v>0</v>
      </c>
      <c r="AC38" s="12">
        <f>IF(ISBLANK(VLOOKUP($B38,بحرا!$A$2:$AG$31,26,FALSE)),0,VLOOKUP($B38,بحرا!$A$2:$AG$31,26,FALSE))</f>
        <v>0</v>
      </c>
      <c r="AD38" s="12">
        <f>IF(ISBLANK(VLOOKUP($B38,بحرا!$A$2:$AJ$31,27,FALSE)),0,VLOOKUP($B38,بحرا!$A$2:$AJ$31,27,FALSE))</f>
        <v>0</v>
      </c>
      <c r="AE38" s="12">
        <f>IF(ISBLANK(VLOOKUP($B38,بحرا!$A$2:$AJ$31,28,FALSE)),0,VLOOKUP($B38,بحرا!$A$2:$AJ$31,28,FALSE))</f>
        <v>0</v>
      </c>
      <c r="AF38" s="12">
        <f>IF(ISBLANK(VLOOKUP($B38,بحرا!$A$2:$AG$31,29,FALSE)),0,VLOOKUP($B38,بحرا!$A$2:$AG$31,29,FALSE))</f>
        <v>0</v>
      </c>
      <c r="AG38" s="12">
        <f>IF(ISBLANK(VLOOKUP($B38,بحرا!$A$2:$AG$31,30,FALSE)),0,VLOOKUP($B38,بحرا!$A$2:$AG$31,30,FALSE))</f>
        <v>0</v>
      </c>
      <c r="AH38" s="12">
        <f>IF(ISBLANK(VLOOKUP($B38,بحرا!$A$2:$AG$31,31,FALSE)),0,VLOOKUP($B38,بحرا!$A$2:$AG$31,31,FALSE))</f>
        <v>0</v>
      </c>
      <c r="AI38" s="12">
        <f>IF(ISBLANK(VLOOKUP($B38,بحرا!$A$2:$AG$31,32,FALSE)),0,VLOOKUP($B38,بحرا!$A$2:$AG$31,32,FALSE))</f>
        <v>0</v>
      </c>
      <c r="AJ38" s="12">
        <f>IF(ISBLANK(VLOOKUP($B38,بحرا!$A$2:$AJ$31,33,FALSE)),0,VLOOKUP($B38,بحرا!$A$2:$AJ$31,33,FALSE))</f>
        <v>0</v>
      </c>
      <c r="AK38" s="12">
        <f>IF(ISBLANK(VLOOKUP($B38,بحرا!$A$2:$AJ$31,34,FALSE)),0,VLOOKUP($B38,بحرا!$A$2:$AJ$31,34,FALSE))</f>
        <v>0</v>
      </c>
      <c r="AL38" s="12">
        <f>IF(ISBLANK(VLOOKUP($B38,بحرا!$A$2:$AJ$31,35,FALSE)),0,VLOOKUP($B38,بحرا!$A$2:$AJ$31,35,FALSE))</f>
        <v>0</v>
      </c>
      <c r="AM38" s="12">
        <f>IF(ISBLANK(VLOOKUP($B38,بحرا!$A$2:$AJ$31,36,FALSE)),0,VLOOKUP($B38,بحرا!$A$2:$AJ$31,36,FALSE))</f>
        <v>0</v>
      </c>
      <c r="AN38" s="13" t="str">
        <f t="shared" si="0"/>
        <v/>
      </c>
    </row>
    <row r="39" spans="2:40" ht="48" customHeight="1" thickTop="1" thickBot="1">
      <c r="B39" s="301" t="s">
        <v>55</v>
      </c>
      <c r="C39" s="300">
        <f>SUM(C9:C38)</f>
        <v>0</v>
      </c>
      <c r="D39" s="300" t="s">
        <v>91</v>
      </c>
      <c r="E39" s="14">
        <f>SUM(E8:E37)</f>
        <v>0</v>
      </c>
      <c r="F39" s="14">
        <f>SUM(F8:F37)</f>
        <v>0</v>
      </c>
      <c r="G39" s="14">
        <f t="shared" ref="G39:Q39" si="1">SUM(G8:G37)</f>
        <v>0</v>
      </c>
      <c r="H39" s="14">
        <f t="shared" si="1"/>
        <v>0</v>
      </c>
      <c r="I39" s="14">
        <f t="shared" si="1"/>
        <v>0</v>
      </c>
      <c r="J39" s="14">
        <f t="shared" si="1"/>
        <v>0</v>
      </c>
      <c r="K39" s="14">
        <f t="shared" si="1"/>
        <v>0</v>
      </c>
      <c r="L39" s="14">
        <f t="shared" si="1"/>
        <v>0</v>
      </c>
      <c r="M39" s="14">
        <f t="shared" si="1"/>
        <v>0</v>
      </c>
      <c r="N39" s="5">
        <f t="shared" si="1"/>
        <v>0</v>
      </c>
      <c r="O39" s="5">
        <f t="shared" si="1"/>
        <v>0</v>
      </c>
      <c r="P39" s="5">
        <f t="shared" si="1"/>
        <v>0</v>
      </c>
      <c r="Q39" s="5">
        <f t="shared" si="1"/>
        <v>0</v>
      </c>
      <c r="R39" s="300" t="s">
        <v>72</v>
      </c>
      <c r="S39" s="300">
        <f>SUM(S8:S37)</f>
        <v>0</v>
      </c>
      <c r="T39" s="300" t="s">
        <v>74</v>
      </c>
      <c r="U39" s="318">
        <f>SUM(U9:U38)</f>
        <v>0</v>
      </c>
      <c r="V39" s="318">
        <f t="shared" ref="V39:AM39" si="2">SUM(V9:V38)</f>
        <v>0</v>
      </c>
      <c r="W39" s="318">
        <f t="shared" si="2"/>
        <v>0</v>
      </c>
      <c r="X39" s="318">
        <f t="shared" si="2"/>
        <v>0</v>
      </c>
      <c r="Y39" s="318">
        <f t="shared" si="2"/>
        <v>0</v>
      </c>
      <c r="Z39" s="318">
        <f t="shared" si="2"/>
        <v>0</v>
      </c>
      <c r="AA39" s="318">
        <f t="shared" si="2"/>
        <v>0</v>
      </c>
      <c r="AB39" s="318">
        <f t="shared" si="2"/>
        <v>0</v>
      </c>
      <c r="AC39" s="318">
        <f t="shared" si="2"/>
        <v>0</v>
      </c>
      <c r="AD39" s="318">
        <f t="shared" si="2"/>
        <v>0</v>
      </c>
      <c r="AE39" s="318">
        <f t="shared" si="2"/>
        <v>0</v>
      </c>
      <c r="AF39" s="318">
        <f t="shared" si="2"/>
        <v>0</v>
      </c>
      <c r="AG39" s="318">
        <f t="shared" si="2"/>
        <v>0</v>
      </c>
      <c r="AH39" s="318">
        <f t="shared" si="2"/>
        <v>0</v>
      </c>
      <c r="AI39" s="318">
        <f t="shared" si="2"/>
        <v>0</v>
      </c>
      <c r="AJ39" s="318">
        <f t="shared" si="2"/>
        <v>0</v>
      </c>
      <c r="AK39" s="318">
        <f>SUM(AK9:AK38)</f>
        <v>0</v>
      </c>
      <c r="AL39" s="318">
        <f>SUM(AL9:AL38)</f>
        <v>0</v>
      </c>
      <c r="AM39" s="318">
        <f t="shared" si="2"/>
        <v>0</v>
      </c>
      <c r="AN39" s="300" t="s">
        <v>74</v>
      </c>
    </row>
    <row r="40" spans="2:40" ht="61.15" customHeight="1" thickTop="1" thickBot="1">
      <c r="B40" s="301"/>
      <c r="C40" s="300"/>
      <c r="D40" s="300"/>
      <c r="E40" s="327">
        <f>E39+F39</f>
        <v>0</v>
      </c>
      <c r="F40" s="327"/>
      <c r="G40" s="327">
        <f>G39+H39</f>
        <v>0</v>
      </c>
      <c r="H40" s="327"/>
      <c r="I40" s="327">
        <f>I39+J39</f>
        <v>0</v>
      </c>
      <c r="J40" s="327"/>
      <c r="K40" s="331">
        <f>K39+L39+M39</f>
        <v>0</v>
      </c>
      <c r="L40" s="332"/>
      <c r="M40" s="333"/>
      <c r="N40" s="321">
        <f>N39+O39</f>
        <v>0</v>
      </c>
      <c r="O40" s="322"/>
      <c r="P40" s="321">
        <f>P39+Q39</f>
        <v>0</v>
      </c>
      <c r="Q40" s="322"/>
      <c r="R40" s="300"/>
      <c r="S40" s="300"/>
      <c r="T40" s="300"/>
      <c r="U40" s="319"/>
      <c r="V40" s="319"/>
      <c r="W40" s="319"/>
      <c r="X40" s="319"/>
      <c r="Y40" s="319"/>
      <c r="Z40" s="319"/>
      <c r="AA40" s="319"/>
      <c r="AB40" s="319"/>
      <c r="AC40" s="319"/>
      <c r="AD40" s="319"/>
      <c r="AE40" s="319"/>
      <c r="AF40" s="319"/>
      <c r="AG40" s="319"/>
      <c r="AH40" s="319"/>
      <c r="AI40" s="319"/>
      <c r="AJ40" s="319"/>
      <c r="AK40" s="319"/>
      <c r="AL40" s="319"/>
      <c r="AM40" s="319"/>
      <c r="AN40" s="300"/>
    </row>
    <row r="41" spans="2:40" ht="61.15" customHeight="1" thickTop="1" thickBot="1">
      <c r="B41" s="301"/>
      <c r="C41" s="300"/>
      <c r="D41" s="300"/>
      <c r="E41" s="328">
        <f>E40+G40+I40</f>
        <v>0</v>
      </c>
      <c r="F41" s="329"/>
      <c r="G41" s="329"/>
      <c r="H41" s="329"/>
      <c r="I41" s="329"/>
      <c r="J41" s="330"/>
      <c r="K41" s="334"/>
      <c r="L41" s="335"/>
      <c r="M41" s="336"/>
      <c r="N41" s="323"/>
      <c r="O41" s="324"/>
      <c r="P41" s="323"/>
      <c r="Q41" s="324"/>
      <c r="R41" s="300"/>
      <c r="S41" s="300"/>
      <c r="T41" s="300"/>
      <c r="U41" s="320"/>
      <c r="V41" s="320"/>
      <c r="W41" s="320"/>
      <c r="X41" s="320"/>
      <c r="Y41" s="320"/>
      <c r="Z41" s="320"/>
      <c r="AA41" s="320"/>
      <c r="AB41" s="320"/>
      <c r="AC41" s="320"/>
      <c r="AD41" s="320"/>
      <c r="AE41" s="320"/>
      <c r="AF41" s="320"/>
      <c r="AG41" s="320"/>
      <c r="AH41" s="320"/>
      <c r="AI41" s="320"/>
      <c r="AJ41" s="320"/>
      <c r="AK41" s="320"/>
      <c r="AL41" s="320"/>
      <c r="AM41" s="320"/>
      <c r="AN41" s="300"/>
    </row>
    <row r="42" spans="2:40" ht="61.15" customHeight="1" thickTop="1"/>
    <row r="43" spans="2:40" ht="61.15" customHeight="1"/>
    <row r="46" spans="2:40" ht="18.75" customHeight="1">
      <c r="B46" s="310" t="s">
        <v>52</v>
      </c>
      <c r="C46" s="310"/>
      <c r="D46" s="4"/>
      <c r="E46" s="4"/>
      <c r="F46" s="294" t="s">
        <v>196</v>
      </c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314" t="str">
        <f>Q2</f>
        <v>2026/01/11</v>
      </c>
      <c r="R46" s="314"/>
      <c r="S46" s="296" t="s">
        <v>198</v>
      </c>
      <c r="T46" s="2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96"/>
      <c r="AM46" s="196"/>
      <c r="AN46" s="196"/>
    </row>
    <row r="47" spans="2:40" ht="18.75" customHeight="1">
      <c r="B47" s="310" t="s">
        <v>53</v>
      </c>
      <c r="C47" s="310"/>
      <c r="D47" s="4"/>
      <c r="E47" s="4"/>
      <c r="F47" s="294"/>
      <c r="G47" s="294"/>
      <c r="H47" s="294"/>
      <c r="I47" s="294"/>
      <c r="J47" s="294"/>
      <c r="K47" s="294"/>
      <c r="L47" s="294"/>
      <c r="M47" s="294"/>
      <c r="N47" s="294"/>
      <c r="O47" s="294"/>
      <c r="P47" s="294"/>
      <c r="Q47" s="314"/>
      <c r="R47" s="314"/>
      <c r="S47" s="296"/>
      <c r="T47" s="296"/>
      <c r="U47" s="196"/>
      <c r="V47" s="196"/>
      <c r="W47" s="196"/>
      <c r="X47" s="196"/>
      <c r="Y47" s="196"/>
      <c r="Z47" s="196"/>
      <c r="AA47" s="196"/>
      <c r="AB47" s="196"/>
      <c r="AC47" s="196"/>
      <c r="AD47" s="196"/>
      <c r="AE47" s="196"/>
      <c r="AF47" s="196"/>
      <c r="AG47" s="196"/>
      <c r="AH47" s="196"/>
      <c r="AI47" s="196"/>
      <c r="AJ47" s="196"/>
      <c r="AK47" s="196"/>
      <c r="AL47" s="196"/>
      <c r="AM47" s="196"/>
      <c r="AN47" s="196"/>
    </row>
    <row r="48" spans="2:40" ht="18.75" customHeight="1">
      <c r="B48" s="325" t="s">
        <v>54</v>
      </c>
      <c r="C48" s="325"/>
      <c r="D48" s="2"/>
      <c r="E48" s="2"/>
      <c r="F48" s="294"/>
      <c r="G48" s="294"/>
      <c r="H48" s="294"/>
      <c r="I48" s="294"/>
      <c r="J48" s="294"/>
      <c r="K48" s="294"/>
      <c r="L48" s="294"/>
      <c r="M48" s="294"/>
      <c r="N48" s="294"/>
      <c r="O48" s="294"/>
      <c r="P48" s="294"/>
      <c r="Q48" s="314"/>
      <c r="R48" s="314"/>
      <c r="S48" s="296"/>
      <c r="T48" s="2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</row>
    <row r="49" spans="2:40" ht="19.5" thickBot="1">
      <c r="B49" s="2"/>
      <c r="C49" s="2"/>
      <c r="D49" s="2"/>
      <c r="E49" s="2"/>
    </row>
    <row r="50" spans="2:40" ht="39" customHeight="1" thickTop="1" thickBot="1">
      <c r="B50" s="297" t="s">
        <v>45</v>
      </c>
      <c r="C50" s="297" t="s">
        <v>14</v>
      </c>
      <c r="D50" s="297" t="s">
        <v>90</v>
      </c>
      <c r="E50" s="306" t="s">
        <v>88</v>
      </c>
      <c r="F50" s="307"/>
      <c r="G50" s="307"/>
      <c r="H50" s="307"/>
      <c r="I50" s="307"/>
      <c r="J50" s="308"/>
      <c r="K50" s="305" t="s">
        <v>100</v>
      </c>
      <c r="L50" s="305"/>
      <c r="M50" s="305"/>
      <c r="N50" s="313" t="s">
        <v>46</v>
      </c>
      <c r="O50" s="313"/>
      <c r="P50" s="311" t="s">
        <v>79</v>
      </c>
      <c r="Q50" s="311" t="s">
        <v>80</v>
      </c>
      <c r="R50" s="297" t="s">
        <v>50</v>
      </c>
      <c r="S50" s="297" t="s">
        <v>47</v>
      </c>
      <c r="T50" s="297" t="s">
        <v>51</v>
      </c>
      <c r="U50" s="297" t="s">
        <v>83</v>
      </c>
      <c r="V50" s="297" t="s">
        <v>48</v>
      </c>
      <c r="W50" s="297" t="s">
        <v>95</v>
      </c>
      <c r="X50" s="297" t="s">
        <v>93</v>
      </c>
      <c r="Y50" s="297" t="s">
        <v>94</v>
      </c>
      <c r="Z50" s="297" t="s">
        <v>6</v>
      </c>
      <c r="AA50" s="297" t="s">
        <v>5</v>
      </c>
      <c r="AB50" s="297" t="s">
        <v>96</v>
      </c>
      <c r="AC50" s="297" t="s">
        <v>69</v>
      </c>
      <c r="AD50" s="297" t="s">
        <v>64</v>
      </c>
      <c r="AE50" s="313" t="s">
        <v>71</v>
      </c>
      <c r="AF50" s="313"/>
      <c r="AG50" s="297" t="s">
        <v>92</v>
      </c>
      <c r="AH50" s="297" t="s">
        <v>86</v>
      </c>
      <c r="AI50" s="297" t="s">
        <v>1</v>
      </c>
      <c r="AJ50" s="297" t="s">
        <v>0</v>
      </c>
      <c r="AK50" s="297" t="s">
        <v>112</v>
      </c>
      <c r="AL50" s="297" t="s">
        <v>113</v>
      </c>
      <c r="AM50" s="297" t="s">
        <v>87</v>
      </c>
      <c r="AN50" s="297" t="s">
        <v>49</v>
      </c>
    </row>
    <row r="51" spans="2:40" ht="96" customHeight="1" thickTop="1" thickBot="1">
      <c r="B51" s="298"/>
      <c r="C51" s="298"/>
      <c r="D51" s="309"/>
      <c r="E51" s="303" t="s">
        <v>13</v>
      </c>
      <c r="F51" s="304"/>
      <c r="G51" s="303" t="s">
        <v>75</v>
      </c>
      <c r="H51" s="304"/>
      <c r="I51" s="303" t="s">
        <v>76</v>
      </c>
      <c r="J51" s="304"/>
      <c r="K51" s="302" t="s">
        <v>101</v>
      </c>
      <c r="L51" s="302" t="s">
        <v>102</v>
      </c>
      <c r="M51" s="302" t="s">
        <v>103</v>
      </c>
      <c r="N51" s="311" t="s">
        <v>13</v>
      </c>
      <c r="O51" s="311" t="s">
        <v>12</v>
      </c>
      <c r="P51" s="326"/>
      <c r="Q51" s="326"/>
      <c r="R51" s="298"/>
      <c r="S51" s="298"/>
      <c r="T51" s="298"/>
      <c r="U51" s="298"/>
      <c r="V51" s="298"/>
      <c r="W51" s="298"/>
      <c r="X51" s="298"/>
      <c r="Y51" s="298"/>
      <c r="Z51" s="298"/>
      <c r="AA51" s="298"/>
      <c r="AB51" s="298"/>
      <c r="AC51" s="298"/>
      <c r="AD51" s="298"/>
      <c r="AE51" s="297" t="s">
        <v>199</v>
      </c>
      <c r="AF51" s="297" t="s">
        <v>65</v>
      </c>
      <c r="AG51" s="298"/>
      <c r="AH51" s="298"/>
      <c r="AI51" s="298"/>
      <c r="AJ51" s="298"/>
      <c r="AK51" s="298"/>
      <c r="AL51" s="298"/>
      <c r="AM51" s="298"/>
      <c r="AN51" s="298"/>
    </row>
    <row r="52" spans="2:40" ht="32.25" thickBot="1">
      <c r="B52" s="299"/>
      <c r="C52" s="299"/>
      <c r="D52" s="299"/>
      <c r="E52" s="24" t="s">
        <v>98</v>
      </c>
      <c r="F52" s="25" t="s">
        <v>99</v>
      </c>
      <c r="G52" s="24" t="s">
        <v>98</v>
      </c>
      <c r="H52" s="25" t="s">
        <v>99</v>
      </c>
      <c r="I52" s="24" t="s">
        <v>98</v>
      </c>
      <c r="J52" s="25" t="s">
        <v>99</v>
      </c>
      <c r="K52" s="299"/>
      <c r="L52" s="299"/>
      <c r="M52" s="299"/>
      <c r="N52" s="312"/>
      <c r="O52" s="312"/>
      <c r="P52" s="312"/>
      <c r="Q52" s="312"/>
      <c r="R52" s="299"/>
      <c r="S52" s="299"/>
      <c r="T52" s="299"/>
      <c r="U52" s="299"/>
      <c r="V52" s="299"/>
      <c r="W52" s="299"/>
      <c r="X52" s="299"/>
      <c r="Y52" s="299"/>
      <c r="Z52" s="299"/>
      <c r="AA52" s="299"/>
      <c r="AB52" s="299"/>
      <c r="AC52" s="299"/>
      <c r="AD52" s="299"/>
      <c r="AE52" s="299"/>
      <c r="AF52" s="299"/>
      <c r="AG52" s="299"/>
      <c r="AH52" s="299"/>
      <c r="AI52" s="299"/>
      <c r="AJ52" s="299"/>
      <c r="AK52" s="299"/>
      <c r="AL52" s="299"/>
      <c r="AM52" s="299"/>
      <c r="AN52" s="299"/>
    </row>
    <row r="53" spans="2:40" ht="35.25" thickTop="1" thickBot="1">
      <c r="B53" s="10" t="str">
        <f>برا!A2</f>
        <v>نابل</v>
      </c>
      <c r="C53" s="10" t="str">
        <f>IF(ISBLANK(VLOOKUP($B53,برا!$A$2:AJ31,3,FALSE)),"",VLOOKUP($B53,برا!$A$2:AJ31,3,FALSE))</f>
        <v/>
      </c>
      <c r="D53" s="10" t="str">
        <f>IF(ISBLANK(VLOOKUP($B53,برا!$A$2:AK31,2,FALSE)),"",VLOOKUP($B53,برا!$A$2:AK31,2,FALSE))</f>
        <v/>
      </c>
      <c r="E53" s="10" t="str">
        <f>IF(ISBLANK(VLOOKUP($B53,برا!$A$2:AG31,4,FALSE)),"",VLOOKUP($B53,برا!$A$2:AG31,4,FALSE))</f>
        <v/>
      </c>
      <c r="F53" s="10" t="str">
        <f>IF(ISBLANK(VLOOKUP($B53,برا!$A$2:AG31,5,FALSE)),"",VLOOKUP($B53,برا!$A$2:AG31,5,FALSE))</f>
        <v/>
      </c>
      <c r="G53" s="10" t="str">
        <f>IF(ISBLANK(VLOOKUP($B53,برا!$A$2:AG31,6,FALSE)),"",VLOOKUP($B53,برا!$A$2:AG31,6,FALSE))</f>
        <v/>
      </c>
      <c r="H53" s="10" t="str">
        <f>IF(ISBLANK(VLOOKUP($B53,برا!$A$2:AE31,7,FALSE)),"",VLOOKUP($B53,برا!$A$2:AE31,7,FALSE))</f>
        <v/>
      </c>
      <c r="I53" s="10" t="str">
        <f>IF(ISBLANK(VLOOKUP($B53,برا!$A$2:AF31,8,FALSE)),"",VLOOKUP($B53,برا!$A$2:AF31,8,FALSE))</f>
        <v/>
      </c>
      <c r="J53" s="10" t="str">
        <f>IF(ISBLANK(VLOOKUP($B53,برا!$A$2:AG31,9,FALSE)),"",VLOOKUP($B53,برا!$A$2:AG31,9,FALSE))</f>
        <v/>
      </c>
      <c r="K53" s="10" t="str">
        <f>IF(ISBLANK(VLOOKUP($B53,برا!$A$2:AJ31,10,FALSE)),"",VLOOKUP($B53,برا!$A$2:AJ31,10,FALSE))</f>
        <v/>
      </c>
      <c r="L53" s="10" t="str">
        <f>IF(ISBLANK(VLOOKUP($B53,برا!$A$2:AK31,11,FALSE)),"",VLOOKUP($B53,برا!$A$2:AK31,11,FALSE))</f>
        <v/>
      </c>
      <c r="M53" s="10" t="str">
        <f>IF(ISBLANK(VLOOKUP($B53,برا!$A$2:AK31,12,FALSE)),"",VLOOKUP($B53,برا!$A$2:AK31,12,FALSE))</f>
        <v/>
      </c>
      <c r="N53" s="10" t="str">
        <f>IF(ISBLANK(VLOOKUP($B53,برا!$A$2:AL31,13,FALSE)),"",VLOOKUP($B53,برا!$A$2:AL31,13,FALSE))</f>
        <v/>
      </c>
      <c r="O53" s="10" t="str">
        <f>IF(ISBLANK(VLOOKUP($B53,برا!$A$2:AM31,14,FALSE)),"",VLOOKUP($B53,برا!$A$2:AM31,14,FALSE))</f>
        <v/>
      </c>
      <c r="P53" s="10" t="str">
        <f>IF(ISBLANK(VLOOKUP($B53,برا!$A$2:AN31,15,FALSE)),"",VLOOKUP($B53,برا!$A$2:AN31,15,FALSE))</f>
        <v/>
      </c>
      <c r="Q53" s="10" t="str">
        <f>IF(ISBLANK(VLOOKUP($B53,برا!$A$2:AO31,16,FALSE)),"",VLOOKUP($B53,برا!$A$2:AO31,16,FALSE))</f>
        <v/>
      </c>
      <c r="R53" s="199"/>
      <c r="S53" s="10" t="str">
        <f>IF(ISBLANK(VLOOKUP($B53,برا!$A$2:AQ31,17,FALSE)),"",VLOOKUP($B53,برا!$A$2:AQ31,17,FALSE))</f>
        <v/>
      </c>
      <c r="T53" s="10"/>
      <c r="U53" s="10" t="str">
        <f>IF(ISBLANK(VLOOKUP($B53,برا!$A$2:AS31,18,FALSE)),"",VLOOKUP($B53,برا!$A$2:AS31,18,FALSE))</f>
        <v/>
      </c>
      <c r="V53" s="10" t="str">
        <f>IF(ISBLANK(VLOOKUP($B53,برا!$A$2:AT31,19,FALSE)),"",VLOOKUP($B53,برا!$A$2:AT31,19,FALSE))</f>
        <v/>
      </c>
      <c r="W53" s="10" t="str">
        <f>IF(ISBLANK(VLOOKUP($B53,برا!$A$2:AU31,20,FALSE)),"",VLOOKUP($B53,برا!$A$2:AU31,20,FALSE))</f>
        <v/>
      </c>
      <c r="X53" s="10">
        <f>IF(ISBLANK(VLOOKUP($B53,برا!$A$2:AU31,21,FALSE)),0,VLOOKUP($B53,برا!$A$2:AU31,21,FALSE))</f>
        <v>0</v>
      </c>
      <c r="Y53" s="10">
        <f>IF(ISBLANK(VLOOKUP($B53,برا!$A$2:AV31,22,FALSE)),0,VLOOKUP($B53,برا!$A$2:AV31,22,FALSE))</f>
        <v>0</v>
      </c>
      <c r="Z53" s="10">
        <f>IF(ISBLANK(VLOOKUP($B53,برا!$A$2:AW31,23,FALSE)),0,VLOOKUP($B53,برا!$A$2:AW31,23,FALSE))</f>
        <v>0</v>
      </c>
      <c r="AA53" s="10">
        <f>IF(ISBLANK(VLOOKUP($B53,برا!$A$2:AX31,24,FALSE)),0,VLOOKUP($B53,برا!$A$2:AX31,24,FALSE))</f>
        <v>0</v>
      </c>
      <c r="AB53" s="10">
        <f>IF(ISBLANK(VLOOKUP($B53,برا!$A$2:AY31,25,FALSE)),0,VLOOKUP($B53,برا!$A$2:AY31,25,FALSE))</f>
        <v>0</v>
      </c>
      <c r="AC53" s="10">
        <f>IF(ISBLANK(VLOOKUP($B53,برا!$A$2:AZ31,26,FALSE)),0,VLOOKUP($B53,برا!$A$2:AZ31,26,FALSE))</f>
        <v>0</v>
      </c>
      <c r="AD53" s="10">
        <f>IF(ISBLANK(VLOOKUP($B53,برا!$A$2:BA31,27,FALSE)),0,VLOOKUP($B53,برا!$A$2:BA31,27,FALSE))</f>
        <v>0</v>
      </c>
      <c r="AE53" s="10">
        <f>IF(ISBLANK(VLOOKUP($B53,برا!$A$2:BB31,28,FALSE)),0,VLOOKUP($B53,برا!$A$2:BB31,28,FALSE))</f>
        <v>0</v>
      </c>
      <c r="AF53" s="10">
        <f>IF(ISBLANK(VLOOKUP($B53,برا!$A$2:BC31,29,FALSE)),0,VLOOKUP($B53,برا!$A$2:BC31,29,FALSE))</f>
        <v>0</v>
      </c>
      <c r="AG53" s="10">
        <f>IF(ISBLANK(VLOOKUP($B53,برا!$A$2:BD31,30,FALSE)),0,VLOOKUP($B53,برا!$A$2:BD31,30,FALSE))</f>
        <v>0</v>
      </c>
      <c r="AH53" s="10">
        <f>IF(ISBLANK(VLOOKUP($B53,برا!$A$2:BE31,31,FALSE)),0,VLOOKUP($B53,برا!$A$2:BE31,31,FALSE))</f>
        <v>0</v>
      </c>
      <c r="AI53" s="10">
        <f>IF(ISBLANK(VLOOKUP($B53,برا!$A$2:BF31,32,FALSE)),0,VLOOKUP($B53,برا!$A$2:BF31,32,FALSE))</f>
        <v>0</v>
      </c>
      <c r="AJ53" s="10">
        <f>IF(ISBLANK(VLOOKUP($B53,برا!$A$2:BG31,33,FALSE)),0,VLOOKUP($B53,برا!$A$2:BG31,33,FALSE))</f>
        <v>0</v>
      </c>
      <c r="AK53" s="10">
        <f>IF(ISBLANK(VLOOKUP($B53,برا!$A$2:BH31,34,FALSE)),0,VLOOKUP($B53,برا!$A$2:BH31,34,FALSE))</f>
        <v>0</v>
      </c>
      <c r="AL53" s="10">
        <f>IF(ISBLANK(VLOOKUP($B53,برا!$A$2:BI31,35,FALSE)),0,VLOOKUP($B53,برا!$A$2:BI31,35,FALSE))</f>
        <v>0</v>
      </c>
      <c r="AM53" s="10">
        <f>IF(ISBLANK(VLOOKUP($B53,برا!$A$2:BJ31,36,FALSE)),0,VLOOKUP($B53,برا!$A$2:BJ31,36,FALSE))</f>
        <v>0</v>
      </c>
      <c r="AN53" s="10" t="str">
        <f>IF(X53&gt;0,X53 &amp; " "&amp; $X$50 &amp; " / ", " ") &amp; IF(Y53&gt;0,Y53 &amp; " "&amp;$Y$50 &amp; " / ", " ") &amp; IF(Z53&gt;0,Z53 &amp; " "&amp; $Z$50 &amp; " / ", " ") &amp; IF(AA53&gt;0,AA53 &amp; " "&amp; $AA$50 &amp; " / ", " ")&amp; IF(AB53&gt;0,AB53 &amp; " "&amp; $AB$50 &amp; " / ", " ") &amp; IF(AC53&gt;0,AC53 &amp; " "&amp; $AC$50 &amp; " / ", " ")  &amp; IF(AG53&gt;0,AG53 &amp; " "&amp; $AG$50 &amp; " / ", " ")  &amp; IF(AH53&gt;0,AH53 &amp; " "&amp; $AH$50 &amp; " / ", " ") &amp; IF(AI53&gt;0,AI53 &amp; " "&amp; $AI$50 &amp; " / ", " ") &amp; IF(AJ53&gt;0,AJ53 &amp; " "&amp; $AJ$50 &amp; " / ", " ")&amp; IF(AD53&gt;0,AD53 &amp; " "&amp; $AD$50 &amp; " / ", " ")&amp; IF(AE53&gt;0,AE53 &amp; " "&amp; $AE$51 &amp; " / ", " ")&amp; IF(AF53&gt;0,AF53 &amp; " "&amp; $AF$51 &amp; " / ", " ")&amp; IF(AK53&gt;0,AK53 &amp; " "&amp;$AK$50 &amp; " / ", " ") &amp; IF(AL53&gt;0,AL53 &amp; " "&amp;$AL$50 &amp; " / ", " ")&amp; IF(AM53&gt;0,AM53 &amp; " "&amp;  " / ", " ")</f>
        <v/>
      </c>
    </row>
    <row r="54" spans="2:40" ht="42.75" customHeight="1" thickTop="1" thickBot="1">
      <c r="B54" s="10" t="str">
        <f>برا!A3</f>
        <v>مدنين</v>
      </c>
      <c r="C54" s="10" t="str">
        <f>IF(ISBLANK(VLOOKUP($B54,برا!$A$2:AJ32,3,FALSE)),"",VLOOKUP($B54,برا!$A$2:AJ32,3,FALSE))</f>
        <v/>
      </c>
      <c r="D54" s="10" t="str">
        <f>IF(ISBLANK(VLOOKUP($B54,برا!$A$2:AK32,2,FALSE)),"",VLOOKUP($B54,برا!$A$2:AK32,2,FALSE))</f>
        <v/>
      </c>
      <c r="E54" s="10" t="str">
        <f>IF(ISBLANK(VLOOKUP($B54,برا!$A$2:AG32,4,FALSE)),"",VLOOKUP($B54,برا!$A$2:AG32,4,FALSE))</f>
        <v/>
      </c>
      <c r="F54" s="10" t="str">
        <f>IF(ISBLANK(VLOOKUP($B54,برا!$A$2:AG32,5,FALSE)),"",VLOOKUP($B54,برا!$A$2:AG32,5,FALSE))</f>
        <v/>
      </c>
      <c r="G54" s="10" t="str">
        <f>IF(ISBLANK(VLOOKUP($B54,برا!$A$2:AG32,6,FALSE)),"",VLOOKUP($B54,برا!$A$2:AG32,6,FALSE))</f>
        <v/>
      </c>
      <c r="H54" s="10" t="str">
        <f>IF(ISBLANK(VLOOKUP($B54,برا!$A$2:AE32,7,FALSE)),"",VLOOKUP($B54,برا!$A$2:AE32,7,FALSE))</f>
        <v/>
      </c>
      <c r="I54" s="10" t="str">
        <f>IF(ISBLANK(VLOOKUP($B54,برا!$A$2:AF32,8,FALSE)),"",VLOOKUP($B54,برا!$A$2:AF32,8,FALSE))</f>
        <v/>
      </c>
      <c r="J54" s="10" t="str">
        <f>IF(ISBLANK(VLOOKUP($B54,برا!$A$2:AG32,9,FALSE)),"",VLOOKUP($B54,برا!$A$2:AG32,9,FALSE))</f>
        <v/>
      </c>
      <c r="K54" s="10" t="str">
        <f>IF(ISBLANK(VLOOKUP($B54,برا!$A$2:AJ32,10,FALSE)),"",VLOOKUP($B54,برا!$A$2:AJ32,10,FALSE))</f>
        <v/>
      </c>
      <c r="L54" s="10" t="str">
        <f>IF(ISBLANK(VLOOKUP($B54,برا!$A$2:AK32,11,FALSE)),"",VLOOKUP($B54,برا!$A$2:AK32,11,FALSE))</f>
        <v/>
      </c>
      <c r="M54" s="10" t="str">
        <f>IF(ISBLANK(VLOOKUP($B54,برا!$A$2:AK32,12,FALSE)),"",VLOOKUP($B54,برا!$A$2:AK32,12,FALSE))</f>
        <v/>
      </c>
      <c r="N54" s="10" t="str">
        <f>IF(ISBLANK(VLOOKUP($B54,برا!$A$2:AL32,13,FALSE)),"",VLOOKUP($B54,برا!$A$2:AL32,13,FALSE))</f>
        <v/>
      </c>
      <c r="O54" s="10" t="str">
        <f>IF(ISBLANK(VLOOKUP($B54,برا!$A$2:AM32,14,FALSE)),"",VLOOKUP($B54,برا!$A$2:AM32,14,FALSE))</f>
        <v/>
      </c>
      <c r="P54" s="10" t="str">
        <f>IF(ISBLANK(VLOOKUP($B54,برا!$A$2:AN32,15,FALSE)),"",VLOOKUP($B54,برا!$A$2:AN32,15,FALSE))</f>
        <v/>
      </c>
      <c r="Q54" s="10" t="str">
        <f>IF(ISBLANK(VLOOKUP($B54,برا!$A$2:AO32,16,FALSE)),"",VLOOKUP($B54,برا!$A$2:AO32,16,FALSE))</f>
        <v/>
      </c>
      <c r="R54" s="199"/>
      <c r="S54" s="10" t="str">
        <f>IF(ISBLANK(VLOOKUP($B54,برا!$A$2:AQ32,17,FALSE)),"",VLOOKUP($B54,برا!$A$2:AQ32,17,FALSE))</f>
        <v/>
      </c>
      <c r="T54" s="10"/>
      <c r="U54" s="10" t="str">
        <f>IF(ISBLANK(VLOOKUP($B54,برا!$A$2:AS32,18,FALSE)),"",VLOOKUP($B54,برا!$A$2:AS32,18,FALSE))</f>
        <v/>
      </c>
      <c r="V54" s="10" t="str">
        <f>IF(ISBLANK(VLOOKUP($B54,برا!$A$2:AT32,19,FALSE)),"",VLOOKUP($B54,برا!$A$2:AT32,19,FALSE))</f>
        <v/>
      </c>
      <c r="W54" s="10" t="str">
        <f>IF(ISBLANK(VLOOKUP($B54,برا!$A$2:AU32,20,FALSE)),"",VLOOKUP($B54,برا!$A$2:AU32,20,FALSE))</f>
        <v/>
      </c>
      <c r="X54" s="10">
        <f>IF(ISBLANK(VLOOKUP($B54,برا!$A$2:AU32,21,FALSE)),0,VLOOKUP($B54,برا!$A$2:AU32,21,FALSE))</f>
        <v>0</v>
      </c>
      <c r="Y54" s="10">
        <f>IF(ISBLANK(VLOOKUP($B54,برا!$A$2:AV32,22,FALSE)),0,VLOOKUP($B54,برا!$A$2:AV32,22,FALSE))</f>
        <v>0</v>
      </c>
      <c r="Z54" s="10">
        <f>IF(ISBLANK(VLOOKUP($B54,برا!$A$2:AW32,23,FALSE)),0,VLOOKUP($B54,برا!$A$2:AW32,23,FALSE))</f>
        <v>0</v>
      </c>
      <c r="AA54" s="10">
        <f>IF(ISBLANK(VLOOKUP($B54,برا!$A$2:AX32,24,FALSE)),0,VLOOKUP($B54,برا!$A$2:AX32,24,FALSE))</f>
        <v>0</v>
      </c>
      <c r="AB54" s="10">
        <f>IF(ISBLANK(VLOOKUP($B54,برا!$A$2:AY32,25,FALSE)),0,VLOOKUP($B54,برا!$A$2:AY32,25,FALSE))</f>
        <v>0</v>
      </c>
      <c r="AC54" s="10">
        <f>IF(ISBLANK(VLOOKUP($B54,برا!$A$2:AZ32,26,FALSE)),0,VLOOKUP($B54,برا!$A$2:AZ32,26,FALSE))</f>
        <v>0</v>
      </c>
      <c r="AD54" s="10">
        <f>IF(ISBLANK(VLOOKUP($B54,برا!$A$2:BA32,27,FALSE)),0,VLOOKUP($B54,برا!$A$2:BA32,27,FALSE))</f>
        <v>0</v>
      </c>
      <c r="AE54" s="10">
        <f>IF(ISBLANK(VLOOKUP($B54,برا!$A$2:BB32,28,FALSE)),0,VLOOKUP($B54,برا!$A$2:BB32,28,FALSE))</f>
        <v>0</v>
      </c>
      <c r="AF54" s="10">
        <f>IF(ISBLANK(VLOOKUP($B54,برا!$A$2:BC32,29,FALSE)),0,VLOOKUP($B54,برا!$A$2:BC32,29,FALSE))</f>
        <v>0</v>
      </c>
      <c r="AG54" s="10">
        <f>IF(ISBLANK(VLOOKUP($B54,برا!$A$2:BD32,30,FALSE)),0,VLOOKUP($B54,برا!$A$2:BD32,30,FALSE))</f>
        <v>0</v>
      </c>
      <c r="AH54" s="10">
        <f>IF(ISBLANK(VLOOKUP($B54,برا!$A$2:BE32,31,FALSE)),0,VLOOKUP($B54,برا!$A$2:BE32,31,FALSE))</f>
        <v>0</v>
      </c>
      <c r="AI54" s="10">
        <f>IF(ISBLANK(VLOOKUP($B54,برا!$A$2:BF32,32,FALSE)),0,VLOOKUP($B54,برا!$A$2:BF32,32,FALSE))</f>
        <v>0</v>
      </c>
      <c r="AJ54" s="10">
        <f>IF(ISBLANK(VLOOKUP($B54,برا!$A$2:BG32,33,FALSE)),0,VLOOKUP($B54,برا!$A$2:BG32,33,FALSE))</f>
        <v>0</v>
      </c>
      <c r="AK54" s="10">
        <f>IF(ISBLANK(VLOOKUP($B54,برا!$A$2:BH32,34,FALSE)),0,VLOOKUP($B54,برا!$A$2:BH32,34,FALSE))</f>
        <v>0</v>
      </c>
      <c r="AL54" s="10">
        <f>IF(ISBLANK(VLOOKUP($B54,برا!$A$2:BI32,35,FALSE)),0,VLOOKUP($B54,برا!$A$2:BI32,35,FALSE))</f>
        <v>0</v>
      </c>
      <c r="AM54" s="10">
        <f>IF(ISBLANK(VLOOKUP($B54,برا!$A$2:BJ32,36,FALSE)),0,VLOOKUP($B54,برا!$A$2:BJ32,36,FALSE))</f>
        <v>0</v>
      </c>
      <c r="AN54" s="10" t="str">
        <f t="shared" ref="AN54:AN82" si="3">IF(X54&gt;0,X54 &amp; " "&amp; $X$50 &amp; " / ", " ") &amp; IF(Y54&gt;0,Y54 &amp; " "&amp;$Y$50 &amp; " / ", " ") &amp; IF(Z54&gt;0,Z54 &amp; " "&amp; $Z$50 &amp; " / ", " ") &amp; IF(AA54&gt;0,AA54 &amp; " "&amp; $AA$50 &amp; " / ", " ")&amp; IF(AB54&gt;0,AB54 &amp; " "&amp; $AB$50 &amp; " / ", " ") &amp; IF(AC54&gt;0,AC54 &amp; " "&amp; $AC$50 &amp; " / ", " ")  &amp; IF(AG54&gt;0,AG54 &amp; " "&amp; $AG$50 &amp; " / ", " ")  &amp; IF(AH54&gt;0,AH54 &amp; " "&amp; $AH$50 &amp; " / ", " ") &amp; IF(AI54&gt;0,AI54 &amp; " "&amp; $AI$50 &amp; " / ", " ") &amp; IF(AJ54&gt;0,AJ54 &amp; " "&amp; $AJ$50 &amp; " / ", " ")&amp; IF(AD54&gt;0,AD54 &amp; " "&amp; $AD$50 &amp; " / ", " ")&amp; IF(AE54&gt;0,AE54 &amp; " "&amp; $AE$51 &amp; " / ", " ")&amp; IF(AF54&gt;0,AF54 &amp; " "&amp; $AF$51 &amp; " / ", " ")&amp; IF(AK54&gt;0,AK54 &amp; " "&amp;$AK$50 &amp; " / ", " ") &amp; IF(AL54&gt;0,AL54 &amp; " "&amp;$AL$50 &amp; " / ", " ")&amp; IF(AM54&gt;0,AM54 &amp; " "&amp;  " / ", " ")</f>
        <v/>
      </c>
    </row>
    <row r="55" spans="2:40" ht="35.25" thickTop="1" thickBot="1">
      <c r="B55" s="10" t="str">
        <f>برا!A4</f>
        <v>قفصة</v>
      </c>
      <c r="C55" s="10" t="str">
        <f>IF(ISBLANK(VLOOKUP($B55,برا!$A$2:AJ33,3,FALSE)),"",VLOOKUP($B55,برا!$A$2:AJ33,3,FALSE))</f>
        <v/>
      </c>
      <c r="D55" s="10" t="str">
        <f>IF(ISBLANK(VLOOKUP($B55,برا!$A$2:AK33,2,FALSE)),"",VLOOKUP($B55,برا!$A$2:AK33,2,FALSE))</f>
        <v/>
      </c>
      <c r="E55" s="10" t="str">
        <f>IF(ISBLANK(VLOOKUP($B55,برا!$A$2:AG33,4,FALSE)),"",VLOOKUP($B55,برا!$A$2:AG33,4,FALSE))</f>
        <v/>
      </c>
      <c r="F55" s="10" t="str">
        <f>IF(ISBLANK(VLOOKUP($B55,برا!$A$2:AG33,5,FALSE)),"",VLOOKUP($B55,برا!$A$2:AG33,5,FALSE))</f>
        <v/>
      </c>
      <c r="G55" s="10" t="str">
        <f>IF(ISBLANK(VLOOKUP($B55,برا!$A$2:AG33,6,FALSE)),"",VLOOKUP($B55,برا!$A$2:AG33,6,FALSE))</f>
        <v/>
      </c>
      <c r="H55" s="10" t="str">
        <f>IF(ISBLANK(VLOOKUP($B55,برا!$A$2:AE33,7,FALSE)),"",VLOOKUP($B55,برا!$A$2:AE33,7,FALSE))</f>
        <v/>
      </c>
      <c r="I55" s="10" t="str">
        <f>IF(ISBLANK(VLOOKUP($B55,برا!$A$2:AF33,8,FALSE)),"",VLOOKUP($B55,برا!$A$2:AF33,8,FALSE))</f>
        <v/>
      </c>
      <c r="J55" s="10" t="str">
        <f>IF(ISBLANK(VLOOKUP($B55,برا!$A$2:AG33,9,FALSE)),"",VLOOKUP($B55,برا!$A$2:AG33,9,FALSE))</f>
        <v/>
      </c>
      <c r="K55" s="10" t="str">
        <f>IF(ISBLANK(VLOOKUP($B55,برا!$A$2:AJ33,10,FALSE)),"",VLOOKUP($B55,برا!$A$2:AJ33,10,FALSE))</f>
        <v/>
      </c>
      <c r="L55" s="10" t="str">
        <f>IF(ISBLANK(VLOOKUP($B55,برا!$A$2:AK33,11,FALSE)),"",VLOOKUP($B55,برا!$A$2:AK33,11,FALSE))</f>
        <v/>
      </c>
      <c r="M55" s="10" t="str">
        <f>IF(ISBLANK(VLOOKUP($B55,برا!$A$2:AK33,12,FALSE)),"",VLOOKUP($B55,برا!$A$2:AK33,12,FALSE))</f>
        <v/>
      </c>
      <c r="N55" s="10" t="str">
        <f>IF(ISBLANK(VLOOKUP($B55,برا!$A$2:AL33,13,FALSE)),"",VLOOKUP($B55,برا!$A$2:AL33,13,FALSE))</f>
        <v/>
      </c>
      <c r="O55" s="10" t="str">
        <f>IF(ISBLANK(VLOOKUP($B55,برا!$A$2:AM33,14,FALSE)),"",VLOOKUP($B55,برا!$A$2:AM33,14,FALSE))</f>
        <v/>
      </c>
      <c r="P55" s="10" t="str">
        <f>IF(ISBLANK(VLOOKUP($B55,برا!$A$2:AN33,15,FALSE)),"",VLOOKUP($B55,برا!$A$2:AN33,15,FALSE))</f>
        <v/>
      </c>
      <c r="Q55" s="10" t="str">
        <f>IF(ISBLANK(VLOOKUP($B55,برا!$A$2:AO33,16,FALSE)),"",VLOOKUP($B55,برا!$A$2:AO33,16,FALSE))</f>
        <v/>
      </c>
      <c r="R55" s="199"/>
      <c r="S55" s="10" t="str">
        <f>IF(ISBLANK(VLOOKUP($B55,برا!$A$2:AQ33,17,FALSE)),"",VLOOKUP($B55,برا!$A$2:AQ33,17,FALSE))</f>
        <v/>
      </c>
      <c r="T55" s="10"/>
      <c r="U55" s="10" t="str">
        <f>IF(ISBLANK(VLOOKUP($B55,برا!$A$2:AS33,18,FALSE)),"",VLOOKUP($B55,برا!$A$2:AS33,18,FALSE))</f>
        <v/>
      </c>
      <c r="V55" s="10" t="str">
        <f>IF(ISBLANK(VLOOKUP($B55,برا!$A$2:AT33,19,FALSE)),"",VLOOKUP($B55,برا!$A$2:AT33,19,FALSE))</f>
        <v/>
      </c>
      <c r="W55" s="10" t="str">
        <f>IF(ISBLANK(VLOOKUP($B55,برا!$A$2:AU33,20,FALSE)),"",VLOOKUP($B55,برا!$A$2:AU33,20,FALSE))</f>
        <v/>
      </c>
      <c r="X55" s="10">
        <f>IF(ISBLANK(VLOOKUP($B55,برا!$A$2:AU33,21,FALSE)),0,VLOOKUP($B55,برا!$A$2:AU33,21,FALSE))</f>
        <v>0</v>
      </c>
      <c r="Y55" s="10">
        <f>IF(ISBLANK(VLOOKUP($B55,برا!$A$2:AV33,22,FALSE)),0,VLOOKUP($B55,برا!$A$2:AV33,22,FALSE))</f>
        <v>0</v>
      </c>
      <c r="Z55" s="10">
        <f>IF(ISBLANK(VLOOKUP($B55,برا!$A$2:AW33,23,FALSE)),0,VLOOKUP($B55,برا!$A$2:AW33,23,FALSE))</f>
        <v>0</v>
      </c>
      <c r="AA55" s="10">
        <f>IF(ISBLANK(VLOOKUP($B55,برا!$A$2:AX33,24,FALSE)),0,VLOOKUP($B55,برا!$A$2:AX33,24,FALSE))</f>
        <v>0</v>
      </c>
      <c r="AB55" s="10">
        <f>IF(ISBLANK(VLOOKUP($B55,برا!$A$2:AY33,25,FALSE)),0,VLOOKUP($B55,برا!$A$2:AY33,25,FALSE))</f>
        <v>0</v>
      </c>
      <c r="AC55" s="10">
        <f>IF(ISBLANK(VLOOKUP($B55,برا!$A$2:AZ33,26,FALSE)),0,VLOOKUP($B55,برا!$A$2:AZ33,26,FALSE))</f>
        <v>0</v>
      </c>
      <c r="AD55" s="10">
        <f>IF(ISBLANK(VLOOKUP($B55,برا!$A$2:BA33,27,FALSE)),0,VLOOKUP($B55,برا!$A$2:BA33,27,FALSE))</f>
        <v>0</v>
      </c>
      <c r="AE55" s="10">
        <f>IF(ISBLANK(VLOOKUP($B55,برا!$A$2:BB33,28,FALSE)),0,VLOOKUP($B55,برا!$A$2:BB33,28,FALSE))</f>
        <v>0</v>
      </c>
      <c r="AF55" s="10">
        <f>IF(ISBLANK(VLOOKUP($B55,برا!$A$2:BC33,29,FALSE)),0,VLOOKUP($B55,برا!$A$2:BC33,29,FALSE))</f>
        <v>0</v>
      </c>
      <c r="AG55" s="10">
        <f>IF(ISBLANK(VLOOKUP($B55,برا!$A$2:BD33,30,FALSE)),0,VLOOKUP($B55,برا!$A$2:BD33,30,FALSE))</f>
        <v>0</v>
      </c>
      <c r="AH55" s="10">
        <f>IF(ISBLANK(VLOOKUP($B55,برا!$A$2:BE33,31,FALSE)),0,VLOOKUP($B55,برا!$A$2:BE33,31,FALSE))</f>
        <v>0</v>
      </c>
      <c r="AI55" s="10">
        <f>IF(ISBLANK(VLOOKUP($B55,برا!$A$2:BF33,32,FALSE)),0,VLOOKUP($B55,برا!$A$2:BF33,32,FALSE))</f>
        <v>0</v>
      </c>
      <c r="AJ55" s="10">
        <f>IF(ISBLANK(VLOOKUP($B55,برا!$A$2:BG33,33,FALSE)),0,VLOOKUP($B55,برا!$A$2:BG33,33,FALSE))</f>
        <v>0</v>
      </c>
      <c r="AK55" s="10">
        <f>IF(ISBLANK(VLOOKUP($B55,برا!$A$2:BH33,34,FALSE)),0,VLOOKUP($B55,برا!$A$2:BH33,34,FALSE))</f>
        <v>0</v>
      </c>
      <c r="AL55" s="10">
        <f>IF(ISBLANK(VLOOKUP($B55,برا!$A$2:BI33,35,FALSE)),0,VLOOKUP($B55,برا!$A$2:BI33,35,FALSE))</f>
        <v>0</v>
      </c>
      <c r="AM55" s="10">
        <f>IF(ISBLANK(VLOOKUP($B55,برا!$A$2:BJ33,36,FALSE)),0,VLOOKUP($B55,برا!$A$2:BJ33,36,FALSE))</f>
        <v>0</v>
      </c>
      <c r="AN55" s="10" t="str">
        <f t="shared" si="3"/>
        <v/>
      </c>
    </row>
    <row r="56" spans="2:40" ht="48" customHeight="1" thickTop="1" thickBot="1">
      <c r="B56" s="10" t="str">
        <f>برا!A5</f>
        <v>قبلي</v>
      </c>
      <c r="C56" s="10" t="str">
        <f>IF(ISBLANK(VLOOKUP($B56,برا!$A$2:AJ34,3,FALSE)),"",VLOOKUP($B56,برا!$A$2:AJ34,3,FALSE))</f>
        <v/>
      </c>
      <c r="D56" s="10" t="str">
        <f>IF(ISBLANK(VLOOKUP($B56,برا!$A$2:AK34,2,FALSE)),"",VLOOKUP($B56,برا!$A$2:AK34,2,FALSE))</f>
        <v/>
      </c>
      <c r="E56" s="10" t="str">
        <f>IF(ISBLANK(VLOOKUP($B56,برا!$A$2:AG34,4,FALSE)),"",VLOOKUP($B56,برا!$A$2:AG34,4,FALSE))</f>
        <v/>
      </c>
      <c r="F56" s="10" t="str">
        <f>IF(ISBLANK(VLOOKUP($B56,برا!$A$2:AG34,5,FALSE)),"",VLOOKUP($B56,برا!$A$2:AG34,5,FALSE))</f>
        <v/>
      </c>
      <c r="G56" s="10" t="str">
        <f>IF(ISBLANK(VLOOKUP($B56,برا!$A$2:AG34,6,FALSE)),"",VLOOKUP($B56,برا!$A$2:AG34,6,FALSE))</f>
        <v/>
      </c>
      <c r="H56" s="10" t="str">
        <f>IF(ISBLANK(VLOOKUP($B56,برا!$A$2:AE34,7,FALSE)),"",VLOOKUP($B56,برا!$A$2:AE34,7,FALSE))</f>
        <v/>
      </c>
      <c r="I56" s="10" t="str">
        <f>IF(ISBLANK(VLOOKUP($B56,برا!$A$2:AF34,8,FALSE)),"",VLOOKUP($B56,برا!$A$2:AF34,8,FALSE))</f>
        <v/>
      </c>
      <c r="J56" s="10" t="str">
        <f>IF(ISBLANK(VLOOKUP($B56,برا!$A$2:AG34,9,FALSE)),"",VLOOKUP($B56,برا!$A$2:AG34,9,FALSE))</f>
        <v/>
      </c>
      <c r="K56" s="10" t="str">
        <f>IF(ISBLANK(VLOOKUP($B56,برا!$A$2:AJ34,10,FALSE)),"",VLOOKUP($B56,برا!$A$2:AJ34,10,FALSE))</f>
        <v/>
      </c>
      <c r="L56" s="10" t="str">
        <f>IF(ISBLANK(VLOOKUP($B56,برا!$A$2:AK34,11,FALSE)),"",VLOOKUP($B56,برا!$A$2:AK34,11,FALSE))</f>
        <v/>
      </c>
      <c r="M56" s="10" t="str">
        <f>IF(ISBLANK(VLOOKUP($B56,برا!$A$2:AK34,12,FALSE)),"",VLOOKUP($B56,برا!$A$2:AK34,12,FALSE))</f>
        <v/>
      </c>
      <c r="N56" s="10" t="str">
        <f>IF(ISBLANK(VLOOKUP($B56,برا!$A$2:AL34,13,FALSE)),"",VLOOKUP($B56,برا!$A$2:AL34,13,FALSE))</f>
        <v/>
      </c>
      <c r="O56" s="10" t="str">
        <f>IF(ISBLANK(VLOOKUP($B56,برا!$A$2:AM34,14,FALSE)),"",VLOOKUP($B56,برا!$A$2:AM34,14,FALSE))</f>
        <v/>
      </c>
      <c r="P56" s="10" t="str">
        <f>IF(ISBLANK(VLOOKUP($B56,برا!$A$2:AN34,15,FALSE)),"",VLOOKUP($B56,برا!$A$2:AN34,15,FALSE))</f>
        <v/>
      </c>
      <c r="Q56" s="10" t="str">
        <f>IF(ISBLANK(VLOOKUP($B56,برا!$A$2:AO34,16,FALSE)),"",VLOOKUP($B56,برا!$A$2:AO34,16,FALSE))</f>
        <v/>
      </c>
      <c r="R56" s="199"/>
      <c r="S56" s="10" t="str">
        <f>IF(ISBLANK(VLOOKUP($B56,برا!$A$2:AQ34,17,FALSE)),"",VLOOKUP($B56,برا!$A$2:AQ34,17,FALSE))</f>
        <v/>
      </c>
      <c r="T56" s="10"/>
      <c r="U56" s="10" t="str">
        <f>IF(ISBLANK(VLOOKUP($B56,برا!$A$2:AS34,18,FALSE)),"",VLOOKUP($B56,برا!$A$2:AS34,18,FALSE))</f>
        <v/>
      </c>
      <c r="V56" s="10" t="str">
        <f>IF(ISBLANK(VLOOKUP($B56,برا!$A$2:AT34,19,FALSE)),"",VLOOKUP($B56,برا!$A$2:AT34,19,FALSE))</f>
        <v/>
      </c>
      <c r="W56" s="10" t="str">
        <f>IF(ISBLANK(VLOOKUP($B56,برا!$A$2:AU34,20,FALSE)),"",VLOOKUP($B56,برا!$A$2:AU34,20,FALSE))</f>
        <v/>
      </c>
      <c r="X56" s="10">
        <f>IF(ISBLANK(VLOOKUP($B56,برا!$A$2:AU34,21,FALSE)),0,VLOOKUP($B56,برا!$A$2:AU34,21,FALSE))</f>
        <v>0</v>
      </c>
      <c r="Y56" s="10">
        <f>IF(ISBLANK(VLOOKUP($B56,برا!$A$2:AV34,22,FALSE)),0,VLOOKUP($B56,برا!$A$2:AV34,22,FALSE))</f>
        <v>0</v>
      </c>
      <c r="Z56" s="10">
        <f>IF(ISBLANK(VLOOKUP($B56,برا!$A$2:AW34,23,FALSE)),0,VLOOKUP($B56,برا!$A$2:AW34,23,FALSE))</f>
        <v>0</v>
      </c>
      <c r="AA56" s="10">
        <f>IF(ISBLANK(VLOOKUP($B56,برا!$A$2:AX34,24,FALSE)),0,VLOOKUP($B56,برا!$A$2:AX34,24,FALSE))</f>
        <v>0</v>
      </c>
      <c r="AB56" s="10">
        <f>IF(ISBLANK(VLOOKUP($B56,برا!$A$2:AY34,25,FALSE)),0,VLOOKUP($B56,برا!$A$2:AY34,25,FALSE))</f>
        <v>0</v>
      </c>
      <c r="AC56" s="10">
        <f>IF(ISBLANK(VLOOKUP($B56,برا!$A$2:AZ34,26,FALSE)),0,VLOOKUP($B56,برا!$A$2:AZ34,26,FALSE))</f>
        <v>0</v>
      </c>
      <c r="AD56" s="10">
        <f>IF(ISBLANK(VLOOKUP($B56,برا!$A$2:BA34,27,FALSE)),0,VLOOKUP($B56,برا!$A$2:BA34,27,FALSE))</f>
        <v>0</v>
      </c>
      <c r="AE56" s="10">
        <f>IF(ISBLANK(VLOOKUP($B56,برا!$A$2:BB34,28,FALSE)),0,VLOOKUP($B56,برا!$A$2:BB34,28,FALSE))</f>
        <v>0</v>
      </c>
      <c r="AF56" s="10">
        <f>IF(ISBLANK(VLOOKUP($B56,برا!$A$2:BC34,29,FALSE)),0,VLOOKUP($B56,برا!$A$2:BC34,29,FALSE))</f>
        <v>0</v>
      </c>
      <c r="AG56" s="10">
        <f>IF(ISBLANK(VLOOKUP($B56,برا!$A$2:BD34,30,FALSE)),0,VLOOKUP($B56,برا!$A$2:BD34,30,FALSE))</f>
        <v>0</v>
      </c>
      <c r="AH56" s="10">
        <f>IF(ISBLANK(VLOOKUP($B56,برا!$A$2:BE34,31,FALSE)),0,VLOOKUP($B56,برا!$A$2:BE34,31,FALSE))</f>
        <v>0</v>
      </c>
      <c r="AI56" s="10">
        <f>IF(ISBLANK(VLOOKUP($B56,برا!$A$2:BF34,32,FALSE)),0,VLOOKUP($B56,برا!$A$2:BF34,32,FALSE))</f>
        <v>0</v>
      </c>
      <c r="AJ56" s="10">
        <f>IF(ISBLANK(VLOOKUP($B56,برا!$A$2:BG34,33,FALSE)),0,VLOOKUP($B56,برا!$A$2:BG34,33,FALSE))</f>
        <v>0</v>
      </c>
      <c r="AK56" s="10">
        <f>IF(ISBLANK(VLOOKUP($B56,برا!$A$2:BH34,34,FALSE)),0,VLOOKUP($B56,برا!$A$2:BH34,34,FALSE))</f>
        <v>0</v>
      </c>
      <c r="AL56" s="10">
        <f>IF(ISBLANK(VLOOKUP($B56,برا!$A$2:BI34,35,FALSE)),0,VLOOKUP($B56,برا!$A$2:BI34,35,FALSE))</f>
        <v>0</v>
      </c>
      <c r="AM56" s="10">
        <f>IF(ISBLANK(VLOOKUP($B56,برا!$A$2:BJ34,36,FALSE)),0,VLOOKUP($B56,برا!$A$2:BJ34,36,FALSE))</f>
        <v>0</v>
      </c>
      <c r="AN56" s="10" t="str">
        <f t="shared" si="3"/>
        <v/>
      </c>
    </row>
    <row r="57" spans="2:40" ht="48" customHeight="1" thickTop="1" thickBot="1">
      <c r="B57" s="10" t="str">
        <f>برا!A6</f>
        <v>قابس</v>
      </c>
      <c r="C57" s="10" t="str">
        <f>IF(ISBLANK(VLOOKUP($B57,برا!$A$2:AJ35,3,FALSE)),"",VLOOKUP($B57,برا!$A$2:AJ35,3,FALSE))</f>
        <v/>
      </c>
      <c r="D57" s="10" t="str">
        <f>IF(ISBLANK(VLOOKUP($B57,برا!$A$2:AK35,2,FALSE)),"",VLOOKUP($B57,برا!$A$2:AK35,2,FALSE))</f>
        <v/>
      </c>
      <c r="E57" s="10" t="str">
        <f>IF(ISBLANK(VLOOKUP($B57,برا!$A$2:AG35,4,FALSE)),"",VLOOKUP($B57,برا!$A$2:AG35,4,FALSE))</f>
        <v/>
      </c>
      <c r="F57" s="10" t="str">
        <f>IF(ISBLANK(VLOOKUP($B57,برا!$A$2:AG35,5,FALSE)),"",VLOOKUP($B57,برا!$A$2:AG35,5,FALSE))</f>
        <v/>
      </c>
      <c r="G57" s="10" t="str">
        <f>IF(ISBLANK(VLOOKUP($B57,برا!$A$2:AG35,6,FALSE)),"",VLOOKUP($B57,برا!$A$2:AG35,6,FALSE))</f>
        <v/>
      </c>
      <c r="H57" s="10" t="str">
        <f>IF(ISBLANK(VLOOKUP($B57,برا!$A$2:AE35,7,FALSE)),"",VLOOKUP($B57,برا!$A$2:AE35,7,FALSE))</f>
        <v/>
      </c>
      <c r="I57" s="10" t="str">
        <f>IF(ISBLANK(VLOOKUP($B57,برا!$A$2:AF35,8,FALSE)),"",VLOOKUP($B57,برا!$A$2:AF35,8,FALSE))</f>
        <v/>
      </c>
      <c r="J57" s="10" t="str">
        <f>IF(ISBLANK(VLOOKUP($B57,برا!$A$2:AG35,9,FALSE)),"",VLOOKUP($B57,برا!$A$2:AG35,9,FALSE))</f>
        <v/>
      </c>
      <c r="K57" s="10" t="str">
        <f>IF(ISBLANK(VLOOKUP($B57,برا!$A$2:AJ35,10,FALSE)),"",VLOOKUP($B57,برا!$A$2:AJ35,10,FALSE))</f>
        <v/>
      </c>
      <c r="L57" s="10" t="str">
        <f>IF(ISBLANK(VLOOKUP($B57,برا!$A$2:AK35,11,FALSE)),"",VLOOKUP($B57,برا!$A$2:AK35,11,FALSE))</f>
        <v/>
      </c>
      <c r="M57" s="10" t="str">
        <f>IF(ISBLANK(VLOOKUP($B57,برا!$A$2:AK35,12,FALSE)),"",VLOOKUP($B57,برا!$A$2:AK35,12,FALSE))</f>
        <v/>
      </c>
      <c r="N57" s="10" t="str">
        <f>IF(ISBLANK(VLOOKUP($B57,برا!$A$2:AL35,13,FALSE)),"",VLOOKUP($B57,برا!$A$2:AL35,13,FALSE))</f>
        <v/>
      </c>
      <c r="O57" s="10" t="str">
        <f>IF(ISBLANK(VLOOKUP($B57,برا!$A$2:AM35,14,FALSE)),"",VLOOKUP($B57,برا!$A$2:AM35,14,FALSE))</f>
        <v/>
      </c>
      <c r="P57" s="10" t="str">
        <f>IF(ISBLANK(VLOOKUP($B57,برا!$A$2:AN35,15,FALSE)),"",VLOOKUP($B57,برا!$A$2:AN35,15,FALSE))</f>
        <v/>
      </c>
      <c r="Q57" s="10" t="str">
        <f>IF(ISBLANK(VLOOKUP($B57,برا!$A$2:AO35,16,FALSE)),"",VLOOKUP($B57,برا!$A$2:AO35,16,FALSE))</f>
        <v/>
      </c>
      <c r="R57" s="199"/>
      <c r="S57" s="10" t="str">
        <f>IF(ISBLANK(VLOOKUP($B57,برا!$A$2:AQ35,17,FALSE)),"",VLOOKUP($B57,برا!$A$2:AQ35,17,FALSE))</f>
        <v/>
      </c>
      <c r="T57" s="10"/>
      <c r="U57" s="10" t="str">
        <f>IF(ISBLANK(VLOOKUP($B57,برا!$A$2:AS35,18,FALSE)),"",VLOOKUP($B57,برا!$A$2:AS35,18,FALSE))</f>
        <v/>
      </c>
      <c r="V57" s="10" t="str">
        <f>IF(ISBLANK(VLOOKUP($B57,برا!$A$2:AT35,19,FALSE)),"",VLOOKUP($B57,برا!$A$2:AT35,19,FALSE))</f>
        <v/>
      </c>
      <c r="W57" s="10" t="str">
        <f>IF(ISBLANK(VLOOKUP($B57,برا!$A$2:AU35,20,FALSE)),"",VLOOKUP($B57,برا!$A$2:AU35,20,FALSE))</f>
        <v/>
      </c>
      <c r="X57" s="10">
        <f>IF(ISBLANK(VLOOKUP($B57,برا!$A$2:AU35,21,FALSE)),0,VLOOKUP($B57,برا!$A$2:AU35,21,FALSE))</f>
        <v>0</v>
      </c>
      <c r="Y57" s="10">
        <f>IF(ISBLANK(VLOOKUP($B57,برا!$A$2:AV35,22,FALSE)),0,VLOOKUP($B57,برا!$A$2:AV35,22,FALSE))</f>
        <v>0</v>
      </c>
      <c r="Z57" s="10">
        <f>IF(ISBLANK(VLOOKUP($B57,برا!$A$2:AW35,23,FALSE)),0,VLOOKUP($B57,برا!$A$2:AW35,23,FALSE))</f>
        <v>0</v>
      </c>
      <c r="AA57" s="10">
        <f>IF(ISBLANK(VLOOKUP($B57,برا!$A$2:AX35,24,FALSE)),0,VLOOKUP($B57,برا!$A$2:AX35,24,FALSE))</f>
        <v>0</v>
      </c>
      <c r="AB57" s="10">
        <f>IF(ISBLANK(VLOOKUP($B57,برا!$A$2:AY35,25,FALSE)),0,VLOOKUP($B57,برا!$A$2:AY35,25,FALSE))</f>
        <v>0</v>
      </c>
      <c r="AC57" s="10">
        <f>IF(ISBLANK(VLOOKUP($B57,برا!$A$2:AZ35,26,FALSE)),0,VLOOKUP($B57,برا!$A$2:AZ35,26,FALSE))</f>
        <v>0</v>
      </c>
      <c r="AD57" s="10">
        <f>IF(ISBLANK(VLOOKUP($B57,برا!$A$2:BA35,27,FALSE)),0,VLOOKUP($B57,برا!$A$2:BA35,27,FALSE))</f>
        <v>0</v>
      </c>
      <c r="AE57" s="10">
        <f>IF(ISBLANK(VLOOKUP($B57,برا!$A$2:BB35,28,FALSE)),0,VLOOKUP($B57,برا!$A$2:BB35,28,FALSE))</f>
        <v>0</v>
      </c>
      <c r="AF57" s="10">
        <f>IF(ISBLANK(VLOOKUP($B57,برا!$A$2:BC35,29,FALSE)),0,VLOOKUP($B57,برا!$A$2:BC35,29,FALSE))</f>
        <v>0</v>
      </c>
      <c r="AG57" s="10">
        <f>IF(ISBLANK(VLOOKUP($B57,برا!$A$2:BD35,30,FALSE)),0,VLOOKUP($B57,برا!$A$2:BD35,30,FALSE))</f>
        <v>0</v>
      </c>
      <c r="AH57" s="10">
        <f>IF(ISBLANK(VLOOKUP($B57,برا!$A$2:BE35,31,FALSE)),0,VLOOKUP($B57,برا!$A$2:BE35,31,FALSE))</f>
        <v>0</v>
      </c>
      <c r="AI57" s="10">
        <f>IF(ISBLANK(VLOOKUP($B57,برا!$A$2:BF35,32,FALSE)),0,VLOOKUP($B57,برا!$A$2:BF35,32,FALSE))</f>
        <v>0</v>
      </c>
      <c r="AJ57" s="10">
        <f>IF(ISBLANK(VLOOKUP($B57,برا!$A$2:BG35,33,FALSE)),0,VLOOKUP($B57,برا!$A$2:BG35,33,FALSE))</f>
        <v>0</v>
      </c>
      <c r="AK57" s="10">
        <f>IF(ISBLANK(VLOOKUP($B57,برا!$A$2:BH35,34,FALSE)),0,VLOOKUP($B57,برا!$A$2:BH35,34,FALSE))</f>
        <v>0</v>
      </c>
      <c r="AL57" s="10">
        <f>IF(ISBLANK(VLOOKUP($B57,برا!$A$2:BI35,35,FALSE)),0,VLOOKUP($B57,برا!$A$2:BI35,35,FALSE))</f>
        <v>0</v>
      </c>
      <c r="AM57" s="10">
        <f>IF(ISBLANK(VLOOKUP($B57,برا!$A$2:BJ35,36,FALSE)),0,VLOOKUP($B57,برا!$A$2:BJ35,36,FALSE))</f>
        <v>0</v>
      </c>
      <c r="AN57" s="10" t="str">
        <f t="shared" si="3"/>
        <v/>
      </c>
    </row>
    <row r="58" spans="2:40" ht="78.75" customHeight="1" thickTop="1" thickBot="1">
      <c r="B58" s="10" t="str">
        <f>برا!A7</f>
        <v>صفاقس</v>
      </c>
      <c r="C58" s="10" t="str">
        <f>IF(ISBLANK(VLOOKUP($B58,برا!$A$2:AJ36,3,FALSE)),"",VLOOKUP($B58,برا!$A$2:AJ36,3,FALSE))</f>
        <v/>
      </c>
      <c r="D58" s="10" t="str">
        <f>IF(ISBLANK(VLOOKUP($B58,برا!$A$2:AK36,2,FALSE)),"",VLOOKUP($B58,برا!$A$2:AK36,2,FALSE))</f>
        <v>العامرة</v>
      </c>
      <c r="E58" s="10" t="str">
        <f>IF(ISBLANK(VLOOKUP($B58,برا!$A$2:AG36,4,FALSE)),"",VLOOKUP($B58,برا!$A$2:AG36,4,FALSE))</f>
        <v/>
      </c>
      <c r="F58" s="10" t="str">
        <f>IF(ISBLANK(VLOOKUP($B58,برا!$A$2:AG36,5,FALSE)),"",VLOOKUP($B58,برا!$A$2:AG36,5,FALSE))</f>
        <v/>
      </c>
      <c r="G58" s="10" t="str">
        <f>IF(ISBLANK(VLOOKUP($B58,برا!$A$2:AG36,6,FALSE)),"",VLOOKUP($B58,برا!$A$2:AG36,6,FALSE))</f>
        <v/>
      </c>
      <c r="H58" s="10" t="str">
        <f>IF(ISBLANK(VLOOKUP($B58,برا!$A$2:AE36,7,FALSE)),"",VLOOKUP($B58,برا!$A$2:AE36,7,FALSE))</f>
        <v/>
      </c>
      <c r="I58" s="10" t="str">
        <f>IF(ISBLANK(VLOOKUP($B58,برا!$A$2:AF36,8,FALSE)),"",VLOOKUP($B58,برا!$A$2:AF36,8,FALSE))</f>
        <v/>
      </c>
      <c r="J58" s="10" t="str">
        <f>IF(ISBLANK(VLOOKUP($B58,برا!$A$2:AG36,9,FALSE)),"",VLOOKUP($B58,برا!$A$2:AG36,9,FALSE))</f>
        <v/>
      </c>
      <c r="K58" s="10" t="str">
        <f>IF(ISBLANK(VLOOKUP($B58,برا!$A$2:AJ36,10,FALSE)),"",VLOOKUP($B58,برا!$A$2:AJ36,10,FALSE))</f>
        <v/>
      </c>
      <c r="L58" s="10" t="str">
        <f>IF(ISBLANK(VLOOKUP($B58,برا!$A$2:AK36,11,FALSE)),"",VLOOKUP($B58,برا!$A$2:AK36,11,FALSE))</f>
        <v/>
      </c>
      <c r="M58" s="10" t="str">
        <f>IF(ISBLANK(VLOOKUP($B58,برا!$A$2:AK36,12,FALSE)),"",VLOOKUP($B58,برا!$A$2:AK36,12,FALSE))</f>
        <v/>
      </c>
      <c r="N58" s="10" t="str">
        <f>IF(ISBLANK(VLOOKUP($B58,برا!$A$2:AL36,13,FALSE)),"",VLOOKUP($B58,برا!$A$2:AL36,13,FALSE))</f>
        <v/>
      </c>
      <c r="O58" s="10" t="str">
        <f>IF(ISBLANK(VLOOKUP($B58,برا!$A$2:AM36,14,FALSE)),"",VLOOKUP($B58,برا!$A$2:AM36,14,FALSE))</f>
        <v/>
      </c>
      <c r="P58" s="10" t="str">
        <f>IF(ISBLANK(VLOOKUP($B58,برا!$A$2:AN36,15,FALSE)),"",VLOOKUP($B58,برا!$A$2:AN36,15,FALSE))</f>
        <v/>
      </c>
      <c r="Q58" s="10">
        <f>IF(ISBLANK(VLOOKUP($B58,برا!$A$2:AO36,16,FALSE)),"",VLOOKUP($B58,برا!$A$2:AO36,16,FALSE))</f>
        <v>1</v>
      </c>
      <c r="R58" s="199"/>
      <c r="S58" s="10" t="str">
        <f>IF(ISBLANK(VLOOKUP($B58,برا!$A$2:AQ36,17,FALSE)),"",VLOOKUP($B58,برا!$A$2:AQ36,17,FALSE))</f>
        <v/>
      </c>
      <c r="T58" s="10"/>
      <c r="U58" s="10" t="str">
        <f>IF(ISBLANK(VLOOKUP($B58,برا!$A$2:AS36,18,FALSE)),"",VLOOKUP($B58,برا!$A$2:AS36,18,FALSE))</f>
        <v/>
      </c>
      <c r="V58" s="10" t="str">
        <f>IF(ISBLANK(VLOOKUP($B58,برا!$A$2:AT36,19,FALSE)),"",VLOOKUP($B58,برا!$A$2:AT36,19,FALSE))</f>
        <v/>
      </c>
      <c r="W58" s="10" t="str">
        <f>IF(ISBLANK(VLOOKUP($B58,برا!$A$2:AU36,20,FALSE)),"",VLOOKUP($B58,برا!$A$2:AU36,20,FALSE))</f>
        <v/>
      </c>
      <c r="X58" s="10">
        <f>IF(ISBLANK(VLOOKUP($B58,برا!$A$2:AU36,21,FALSE)),0,VLOOKUP($B58,برا!$A$2:AU36,21,FALSE))</f>
        <v>0</v>
      </c>
      <c r="Y58" s="10">
        <f>IF(ISBLANK(VLOOKUP($B58,برا!$A$2:AV36,22,FALSE)),0,VLOOKUP($B58,برا!$A$2:AV36,22,FALSE))</f>
        <v>0</v>
      </c>
      <c r="Z58" s="10">
        <f>IF(ISBLANK(VLOOKUP($B58,برا!$A$2:AW36,23,FALSE)),0,VLOOKUP($B58,برا!$A$2:AW36,23,FALSE))</f>
        <v>0</v>
      </c>
      <c r="AA58" s="10">
        <f>IF(ISBLANK(VLOOKUP($B58,برا!$A$2:AX36,24,FALSE)),0,VLOOKUP($B58,برا!$A$2:AX36,24,FALSE))</f>
        <v>0</v>
      </c>
      <c r="AB58" s="10">
        <f>IF(ISBLANK(VLOOKUP($B58,برا!$A$2:AY36,25,FALSE)),0,VLOOKUP($B58,برا!$A$2:AY36,25,FALSE))</f>
        <v>0</v>
      </c>
      <c r="AC58" s="10">
        <f>IF(ISBLANK(VLOOKUP($B58,برا!$A$2:AZ36,26,FALSE)),0,VLOOKUP($B58,برا!$A$2:AZ36,26,FALSE))</f>
        <v>0</v>
      </c>
      <c r="AD58" s="10">
        <f>IF(ISBLANK(VLOOKUP($B58,برا!$A$2:BA36,27,FALSE)),0,VLOOKUP($B58,برا!$A$2:BA36,27,FALSE))</f>
        <v>0</v>
      </c>
      <c r="AE58" s="10">
        <f>IF(ISBLANK(VLOOKUP($B58,برا!$A$2:BB36,28,FALSE)),0,VLOOKUP($B58,برا!$A$2:BB36,28,FALSE))</f>
        <v>0</v>
      </c>
      <c r="AF58" s="10">
        <f>IF(ISBLANK(VLOOKUP($B58,برا!$A$2:BC36,29,FALSE)),0,VLOOKUP($B58,برا!$A$2:BC36,29,FALSE))</f>
        <v>0</v>
      </c>
      <c r="AG58" s="10">
        <f>IF(ISBLANK(VLOOKUP($B58,برا!$A$2:BD36,30,FALSE)),0,VLOOKUP($B58,برا!$A$2:BD36,30,FALSE))</f>
        <v>0</v>
      </c>
      <c r="AH58" s="10">
        <f>IF(ISBLANK(VLOOKUP($B58,برا!$A$2:BE36,31,FALSE)),0,VLOOKUP($B58,برا!$A$2:BE36,31,FALSE))</f>
        <v>0</v>
      </c>
      <c r="AI58" s="10">
        <f>IF(ISBLANK(VLOOKUP($B58,برا!$A$2:BF36,32,FALSE)),0,VLOOKUP($B58,برا!$A$2:BF36,32,FALSE))</f>
        <v>0</v>
      </c>
      <c r="AJ58" s="10">
        <f>IF(ISBLANK(VLOOKUP($B58,برا!$A$2:BG36,33,FALSE)),0,VLOOKUP($B58,برا!$A$2:BG36,33,FALSE))</f>
        <v>0</v>
      </c>
      <c r="AK58" s="10">
        <f>IF(ISBLANK(VLOOKUP($B58,برا!$A$2:BH36,34,FALSE)),0,VLOOKUP($B58,برا!$A$2:BH36,34,FALSE))</f>
        <v>0</v>
      </c>
      <c r="AL58" s="10">
        <f>IF(ISBLANK(VLOOKUP($B58,برا!$A$2:BI36,35,FALSE)),0,VLOOKUP($B58,برا!$A$2:BI36,35,FALSE))</f>
        <v>0</v>
      </c>
      <c r="AM58" s="10" t="str">
        <f>IF(ISBLANK(VLOOKUP($B58,برا!$A$2:BJ36,36,FALSE)),0,VLOOKUP($B58,برا!$A$2:BJ36,36,FALSE))</f>
        <v xml:space="preserve">  جرار فلاحي + صهريج مياه</v>
      </c>
      <c r="AN58" s="10" t="str">
        <f t="shared" si="3"/>
        <v xml:space="preserve">                 جرار فلاحي + صهريج مياه  / </v>
      </c>
    </row>
    <row r="59" spans="2:40" ht="48" customHeight="1" thickTop="1" thickBot="1">
      <c r="B59" s="10" t="str">
        <f>برا!A8</f>
        <v>سيدي بوزيد</v>
      </c>
      <c r="C59" s="10" t="str">
        <f>IF(ISBLANK(VLOOKUP($B59,برا!$A$2:AJ37,3,FALSE)),"",VLOOKUP($B59,برا!$A$2:AJ37,3,FALSE))</f>
        <v/>
      </c>
      <c r="D59" s="10" t="str">
        <f>IF(ISBLANK(VLOOKUP($B59,برا!$A$2:AK37,2,FALSE)),"",VLOOKUP($B59,برا!$A$2:AK37,2,FALSE))</f>
        <v/>
      </c>
      <c r="E59" s="10" t="str">
        <f>IF(ISBLANK(VLOOKUP($B59,برا!$A$2:AG37,4,FALSE)),"",VLOOKUP($B59,برا!$A$2:AG37,4,FALSE))</f>
        <v/>
      </c>
      <c r="F59" s="10" t="str">
        <f>IF(ISBLANK(VLOOKUP($B59,برا!$A$2:AG37,5,FALSE)),"",VLOOKUP($B59,برا!$A$2:AG37,5,FALSE))</f>
        <v/>
      </c>
      <c r="G59" s="10" t="str">
        <f>IF(ISBLANK(VLOOKUP($B59,برا!$A$2:AG37,6,FALSE)),"",VLOOKUP($B59,برا!$A$2:AG37,6,FALSE))</f>
        <v/>
      </c>
      <c r="H59" s="10" t="str">
        <f>IF(ISBLANK(VLOOKUP($B59,برا!$A$2:AE37,7,FALSE)),"",VLOOKUP($B59,برا!$A$2:AE37,7,FALSE))</f>
        <v/>
      </c>
      <c r="I59" s="10" t="str">
        <f>IF(ISBLANK(VLOOKUP($B59,برا!$A$2:AF37,8,FALSE)),"",VLOOKUP($B59,برا!$A$2:AF37,8,FALSE))</f>
        <v/>
      </c>
      <c r="J59" s="10" t="str">
        <f>IF(ISBLANK(VLOOKUP($B59,برا!$A$2:AG37,9,FALSE)),"",VLOOKUP($B59,برا!$A$2:AG37,9,FALSE))</f>
        <v/>
      </c>
      <c r="K59" s="10" t="str">
        <f>IF(ISBLANK(VLOOKUP($B59,برا!$A$2:AJ37,10,FALSE)),"",VLOOKUP($B59,برا!$A$2:AJ37,10,FALSE))</f>
        <v/>
      </c>
      <c r="L59" s="10" t="str">
        <f>IF(ISBLANK(VLOOKUP($B59,برا!$A$2:AK37,11,FALSE)),"",VLOOKUP($B59,برا!$A$2:AK37,11,FALSE))</f>
        <v/>
      </c>
      <c r="M59" s="10" t="str">
        <f>IF(ISBLANK(VLOOKUP($B59,برا!$A$2:AK37,12,FALSE)),"",VLOOKUP($B59,برا!$A$2:AK37,12,FALSE))</f>
        <v/>
      </c>
      <c r="N59" s="10" t="str">
        <f>IF(ISBLANK(VLOOKUP($B59,برا!$A$2:AL37,13,FALSE)),"",VLOOKUP($B59,برا!$A$2:AL37,13,FALSE))</f>
        <v/>
      </c>
      <c r="O59" s="10" t="str">
        <f>IF(ISBLANK(VLOOKUP($B59,برا!$A$2:AM37,14,FALSE)),"",VLOOKUP($B59,برا!$A$2:AM37,14,FALSE))</f>
        <v/>
      </c>
      <c r="P59" s="10" t="str">
        <f>IF(ISBLANK(VLOOKUP($B59,برا!$A$2:AN37,15,FALSE)),"",VLOOKUP($B59,برا!$A$2:AN37,15,FALSE))</f>
        <v/>
      </c>
      <c r="Q59" s="10" t="str">
        <f>IF(ISBLANK(VLOOKUP($B59,برا!$A$2:AO37,16,FALSE)),"",VLOOKUP($B59,برا!$A$2:AO37,16,FALSE))</f>
        <v/>
      </c>
      <c r="R59" s="199"/>
      <c r="S59" s="10" t="str">
        <f>IF(ISBLANK(VLOOKUP($B59,برا!$A$2:AQ37,17,FALSE)),"",VLOOKUP($B59,برا!$A$2:AQ37,17,FALSE))</f>
        <v/>
      </c>
      <c r="T59" s="10"/>
      <c r="U59" s="10" t="str">
        <f>IF(ISBLANK(VLOOKUP($B59,برا!$A$2:AS37,18,FALSE)),"",VLOOKUP($B59,برا!$A$2:AS37,18,FALSE))</f>
        <v/>
      </c>
      <c r="V59" s="10" t="str">
        <f>IF(ISBLANK(VLOOKUP($B59,برا!$A$2:AT37,19,FALSE)),"",VLOOKUP($B59,برا!$A$2:AT37,19,FALSE))</f>
        <v/>
      </c>
      <c r="W59" s="10" t="str">
        <f>IF(ISBLANK(VLOOKUP($B59,برا!$A$2:AU37,20,FALSE)),"",VLOOKUP($B59,برا!$A$2:AU37,20,FALSE))</f>
        <v/>
      </c>
      <c r="X59" s="10">
        <f>IF(ISBLANK(VLOOKUP($B59,برا!$A$2:AU37,21,FALSE)),0,VLOOKUP($B59,برا!$A$2:AU37,21,FALSE))</f>
        <v>0</v>
      </c>
      <c r="Y59" s="10">
        <f>IF(ISBLANK(VLOOKUP($B59,برا!$A$2:AV37,22,FALSE)),0,VLOOKUP($B59,برا!$A$2:AV37,22,FALSE))</f>
        <v>0</v>
      </c>
      <c r="Z59" s="10">
        <f>IF(ISBLANK(VLOOKUP($B59,برا!$A$2:AW37,23,FALSE)),0,VLOOKUP($B59,برا!$A$2:AW37,23,FALSE))</f>
        <v>0</v>
      </c>
      <c r="AA59" s="10">
        <f>IF(ISBLANK(VLOOKUP($B59,برا!$A$2:AX37,24,FALSE)),0,VLOOKUP($B59,برا!$A$2:AX37,24,FALSE))</f>
        <v>0</v>
      </c>
      <c r="AB59" s="10">
        <f>IF(ISBLANK(VLOOKUP($B59,برا!$A$2:AY37,25,FALSE)),0,VLOOKUP($B59,برا!$A$2:AY37,25,FALSE))</f>
        <v>0</v>
      </c>
      <c r="AC59" s="10">
        <f>IF(ISBLANK(VLOOKUP($B59,برا!$A$2:AZ37,26,FALSE)),0,VLOOKUP($B59,برا!$A$2:AZ37,26,FALSE))</f>
        <v>0</v>
      </c>
      <c r="AD59" s="10">
        <f>IF(ISBLANK(VLOOKUP($B59,برا!$A$2:BA37,27,FALSE)),0,VLOOKUP($B59,برا!$A$2:BA37,27,FALSE))</f>
        <v>0</v>
      </c>
      <c r="AE59" s="10">
        <f>IF(ISBLANK(VLOOKUP($B59,برا!$A$2:BB37,28,FALSE)),0,VLOOKUP($B59,برا!$A$2:BB37,28,FALSE))</f>
        <v>0</v>
      </c>
      <c r="AF59" s="10">
        <f>IF(ISBLANK(VLOOKUP($B59,برا!$A$2:BC37,29,FALSE)),0,VLOOKUP($B59,برا!$A$2:BC37,29,FALSE))</f>
        <v>0</v>
      </c>
      <c r="AG59" s="10">
        <f>IF(ISBLANK(VLOOKUP($B59,برا!$A$2:BD37,30,FALSE)),0,VLOOKUP($B59,برا!$A$2:BD37,30,FALSE))</f>
        <v>0</v>
      </c>
      <c r="AH59" s="10">
        <f>IF(ISBLANK(VLOOKUP($B59,برا!$A$2:BE37,31,FALSE)),0,VLOOKUP($B59,برا!$A$2:BE37,31,FALSE))</f>
        <v>0</v>
      </c>
      <c r="AI59" s="10">
        <f>IF(ISBLANK(VLOOKUP($B59,برا!$A$2:BF37,32,FALSE)),0,VLOOKUP($B59,برا!$A$2:BF37,32,FALSE))</f>
        <v>0</v>
      </c>
      <c r="AJ59" s="10">
        <f>IF(ISBLANK(VLOOKUP($B59,برا!$A$2:BG37,33,FALSE)),0,VLOOKUP($B59,برا!$A$2:BG37,33,FALSE))</f>
        <v>0</v>
      </c>
      <c r="AK59" s="10">
        <f>IF(ISBLANK(VLOOKUP($B59,برا!$A$2:BH37,34,FALSE)),0,VLOOKUP($B59,برا!$A$2:BH37,34,FALSE))</f>
        <v>0</v>
      </c>
      <c r="AL59" s="10">
        <f>IF(ISBLANK(VLOOKUP($B59,برا!$A$2:BI37,35,FALSE)),0,VLOOKUP($B59,برا!$A$2:BI37,35,FALSE))</f>
        <v>0</v>
      </c>
      <c r="AM59" s="10">
        <f>IF(ISBLANK(VLOOKUP($B59,برا!$A$2:BJ37,36,FALSE)),0,VLOOKUP($B59,برا!$A$2:BJ37,36,FALSE))</f>
        <v>0</v>
      </c>
      <c r="AN59" s="10" t="str">
        <f t="shared" si="3"/>
        <v/>
      </c>
    </row>
    <row r="60" spans="2:40" ht="48" customHeight="1" thickTop="1" thickBot="1">
      <c r="B60" s="10" t="str">
        <f>برا!A9</f>
        <v>سوسة</v>
      </c>
      <c r="C60" s="10" t="str">
        <f>IF(ISBLANK(VLOOKUP($B60,برا!$A$2:AJ38,3,FALSE)),"",VLOOKUP($B60,برا!$A$2:AJ38,3,FALSE))</f>
        <v/>
      </c>
      <c r="D60" s="10" t="str">
        <f>IF(ISBLANK(VLOOKUP($B60,برا!$A$2:AK38,2,FALSE)),"",VLOOKUP($B60,برا!$A$2:AK38,2,FALSE))</f>
        <v/>
      </c>
      <c r="E60" s="10" t="str">
        <f>IF(ISBLANK(VLOOKUP($B60,برا!$A$2:AG38,4,FALSE)),"",VLOOKUP($B60,برا!$A$2:AG38,4,FALSE))</f>
        <v/>
      </c>
      <c r="F60" s="10" t="str">
        <f>IF(ISBLANK(VLOOKUP($B60,برا!$A$2:AG38,5,FALSE)),"",VLOOKUP($B60,برا!$A$2:AG38,5,FALSE))</f>
        <v/>
      </c>
      <c r="G60" s="10" t="str">
        <f>IF(ISBLANK(VLOOKUP($B60,برا!$A$2:AG38,6,FALSE)),"",VLOOKUP($B60,برا!$A$2:AG38,6,FALSE))</f>
        <v/>
      </c>
      <c r="H60" s="10" t="str">
        <f>IF(ISBLANK(VLOOKUP($B60,برا!$A$2:AE38,7,FALSE)),"",VLOOKUP($B60,برا!$A$2:AE38,7,FALSE))</f>
        <v/>
      </c>
      <c r="I60" s="10" t="str">
        <f>IF(ISBLANK(VLOOKUP($B60,برا!$A$2:AF38,8,FALSE)),"",VLOOKUP($B60,برا!$A$2:AF38,8,FALSE))</f>
        <v/>
      </c>
      <c r="J60" s="10" t="str">
        <f>IF(ISBLANK(VLOOKUP($B60,برا!$A$2:AG38,9,FALSE)),"",VLOOKUP($B60,برا!$A$2:AG38,9,FALSE))</f>
        <v/>
      </c>
      <c r="K60" s="10" t="str">
        <f>IF(ISBLANK(VLOOKUP($B60,برا!$A$2:AJ38,10,FALSE)),"",VLOOKUP($B60,برا!$A$2:AJ38,10,FALSE))</f>
        <v/>
      </c>
      <c r="L60" s="10" t="str">
        <f>IF(ISBLANK(VLOOKUP($B60,برا!$A$2:AK38,11,FALSE)),"",VLOOKUP($B60,برا!$A$2:AK38,11,FALSE))</f>
        <v/>
      </c>
      <c r="M60" s="10" t="str">
        <f>IF(ISBLANK(VLOOKUP($B60,برا!$A$2:AK38,12,FALSE)),"",VLOOKUP($B60,برا!$A$2:AK38,12,FALSE))</f>
        <v/>
      </c>
      <c r="N60" s="10" t="str">
        <f>IF(ISBLANK(VLOOKUP($B60,برا!$A$2:AL38,13,FALSE)),"",VLOOKUP($B60,برا!$A$2:AL38,13,FALSE))</f>
        <v/>
      </c>
      <c r="O60" s="10" t="str">
        <f>IF(ISBLANK(VLOOKUP($B60,برا!$A$2:AM38,14,FALSE)),"",VLOOKUP($B60,برا!$A$2:AM38,14,FALSE))</f>
        <v/>
      </c>
      <c r="P60" s="10" t="str">
        <f>IF(ISBLANK(VLOOKUP($B60,برا!$A$2:AN38,15,FALSE)),"",VLOOKUP($B60,برا!$A$2:AN38,15,FALSE))</f>
        <v/>
      </c>
      <c r="Q60" s="10" t="str">
        <f>IF(ISBLANK(VLOOKUP($B60,برا!$A$2:AO38,16,FALSE)),"",VLOOKUP($B60,برا!$A$2:AO38,16,FALSE))</f>
        <v/>
      </c>
      <c r="R60" s="199"/>
      <c r="S60" s="10" t="str">
        <f>IF(ISBLANK(VLOOKUP($B60,برا!$A$2:AQ38,17,FALSE)),"",VLOOKUP($B60,برا!$A$2:AQ38,17,FALSE))</f>
        <v/>
      </c>
      <c r="T60" s="10"/>
      <c r="U60" s="10" t="str">
        <f>IF(ISBLANK(VLOOKUP($B60,برا!$A$2:AS38,18,FALSE)),"",VLOOKUP($B60,برا!$A$2:AS38,18,FALSE))</f>
        <v/>
      </c>
      <c r="V60" s="10" t="str">
        <f>IF(ISBLANK(VLOOKUP($B60,برا!$A$2:AT38,19,FALSE)),"",VLOOKUP($B60,برا!$A$2:AT38,19,FALSE))</f>
        <v/>
      </c>
      <c r="W60" s="10" t="str">
        <f>IF(ISBLANK(VLOOKUP($B60,برا!$A$2:AU38,20,FALSE)),"",VLOOKUP($B60,برا!$A$2:AU38,20,FALSE))</f>
        <v/>
      </c>
      <c r="X60" s="10">
        <f>IF(ISBLANK(VLOOKUP($B60,برا!$A$2:AU38,21,FALSE)),0,VLOOKUP($B60,برا!$A$2:AU38,21,FALSE))</f>
        <v>0</v>
      </c>
      <c r="Y60" s="10">
        <f>IF(ISBLANK(VLOOKUP($B60,برا!$A$2:AV38,22,FALSE)),0,VLOOKUP($B60,برا!$A$2:AV38,22,FALSE))</f>
        <v>0</v>
      </c>
      <c r="Z60" s="10">
        <f>IF(ISBLANK(VLOOKUP($B60,برا!$A$2:AW38,23,FALSE)),0,VLOOKUP($B60,برا!$A$2:AW38,23,FALSE))</f>
        <v>0</v>
      </c>
      <c r="AA60" s="10">
        <f>IF(ISBLANK(VLOOKUP($B60,برا!$A$2:AX38,24,FALSE)),0,VLOOKUP($B60,برا!$A$2:AX38,24,FALSE))</f>
        <v>0</v>
      </c>
      <c r="AB60" s="10">
        <f>IF(ISBLANK(VLOOKUP($B60,برا!$A$2:AY38,25,FALSE)),0,VLOOKUP($B60,برا!$A$2:AY38,25,FALSE))</f>
        <v>0</v>
      </c>
      <c r="AC60" s="10">
        <f>IF(ISBLANK(VLOOKUP($B60,برا!$A$2:AZ38,26,FALSE)),0,VLOOKUP($B60,برا!$A$2:AZ38,26,FALSE))</f>
        <v>0</v>
      </c>
      <c r="AD60" s="10">
        <f>IF(ISBLANK(VLOOKUP($B60,برا!$A$2:BA38,27,FALSE)),0,VLOOKUP($B60,برا!$A$2:BA38,27,FALSE))</f>
        <v>0</v>
      </c>
      <c r="AE60" s="10">
        <f>IF(ISBLANK(VLOOKUP($B60,برا!$A$2:BB38,28,FALSE)),0,VLOOKUP($B60,برا!$A$2:BB38,28,FALSE))</f>
        <v>0</v>
      </c>
      <c r="AF60" s="10">
        <f>IF(ISBLANK(VLOOKUP($B60,برا!$A$2:BC38,29,FALSE)),0,VLOOKUP($B60,برا!$A$2:BC38,29,FALSE))</f>
        <v>0</v>
      </c>
      <c r="AG60" s="10">
        <f>IF(ISBLANK(VLOOKUP($B60,برا!$A$2:BD38,30,FALSE)),0,VLOOKUP($B60,برا!$A$2:BD38,30,FALSE))</f>
        <v>0</v>
      </c>
      <c r="AH60" s="10">
        <f>IF(ISBLANK(VLOOKUP($B60,برا!$A$2:BE38,31,FALSE)),0,VLOOKUP($B60,برا!$A$2:BE38,31,FALSE))</f>
        <v>0</v>
      </c>
      <c r="AI60" s="10">
        <f>IF(ISBLANK(VLOOKUP($B60,برا!$A$2:BF38,32,FALSE)),0,VLOOKUP($B60,برا!$A$2:BF38,32,FALSE))</f>
        <v>0</v>
      </c>
      <c r="AJ60" s="10">
        <f>IF(ISBLANK(VLOOKUP($B60,برا!$A$2:BG38,33,FALSE)),0,VLOOKUP($B60,برا!$A$2:BG38,33,FALSE))</f>
        <v>0</v>
      </c>
      <c r="AK60" s="10">
        <f>IF(ISBLANK(VLOOKUP($B60,برا!$A$2:BH38,34,FALSE)),0,VLOOKUP($B60,برا!$A$2:BH38,34,FALSE))</f>
        <v>0</v>
      </c>
      <c r="AL60" s="10">
        <f>IF(ISBLANK(VLOOKUP($B60,برا!$A$2:BI38,35,FALSE)),0,VLOOKUP($B60,برا!$A$2:BI38,35,FALSE))</f>
        <v>0</v>
      </c>
      <c r="AM60" s="10">
        <f>IF(ISBLANK(VLOOKUP($B60,برا!$A$2:BJ38,36,FALSE)),0,VLOOKUP($B60,برا!$A$2:BJ38,36,FALSE))</f>
        <v>0</v>
      </c>
      <c r="AN60" s="10" t="str">
        <f t="shared" si="3"/>
        <v/>
      </c>
    </row>
    <row r="61" spans="2:40" ht="48" customHeight="1" thickTop="1" thickBot="1">
      <c r="B61" s="10" t="str">
        <f>برا!A10</f>
        <v>سليانة</v>
      </c>
      <c r="C61" s="10" t="str">
        <f>IF(ISBLANK(VLOOKUP($B61,برا!$A$2:AJ39,3,FALSE)),"",VLOOKUP($B61,برا!$A$2:AJ39,3,FALSE))</f>
        <v/>
      </c>
      <c r="D61" s="10" t="str">
        <f>IF(ISBLANK(VLOOKUP($B61,برا!$A$2:AK39,2,FALSE)),"",VLOOKUP($B61,برا!$A$2:AK39,2,FALSE))</f>
        <v/>
      </c>
      <c r="E61" s="10" t="str">
        <f>IF(ISBLANK(VLOOKUP($B61,برا!$A$2:AG39,4,FALSE)),"",VLOOKUP($B61,برا!$A$2:AG39,4,FALSE))</f>
        <v/>
      </c>
      <c r="F61" s="10" t="str">
        <f>IF(ISBLANK(VLOOKUP($B61,برا!$A$2:AG39,5,FALSE)),"",VLOOKUP($B61,برا!$A$2:AG39,5,FALSE))</f>
        <v/>
      </c>
      <c r="G61" s="10" t="str">
        <f>IF(ISBLANK(VLOOKUP($B61,برا!$A$2:AG39,6,FALSE)),"",VLOOKUP($B61,برا!$A$2:AG39,6,FALSE))</f>
        <v/>
      </c>
      <c r="H61" s="10" t="str">
        <f>IF(ISBLANK(VLOOKUP($B61,برا!$A$2:AE39,7,FALSE)),"",VLOOKUP($B61,برا!$A$2:AE39,7,FALSE))</f>
        <v/>
      </c>
      <c r="I61" s="10" t="str">
        <f>IF(ISBLANK(VLOOKUP($B61,برا!$A$2:AF39,8,FALSE)),"",VLOOKUP($B61,برا!$A$2:AF39,8,FALSE))</f>
        <v/>
      </c>
      <c r="J61" s="10" t="str">
        <f>IF(ISBLANK(VLOOKUP($B61,برا!$A$2:AG39,9,FALSE)),"",VLOOKUP($B61,برا!$A$2:AG39,9,FALSE))</f>
        <v/>
      </c>
      <c r="K61" s="10" t="str">
        <f>IF(ISBLANK(VLOOKUP($B61,برا!$A$2:AJ39,10,FALSE)),"",VLOOKUP($B61,برا!$A$2:AJ39,10,FALSE))</f>
        <v/>
      </c>
      <c r="L61" s="10" t="str">
        <f>IF(ISBLANK(VLOOKUP($B61,برا!$A$2:AK39,11,FALSE)),"",VLOOKUP($B61,برا!$A$2:AK39,11,FALSE))</f>
        <v/>
      </c>
      <c r="M61" s="10" t="str">
        <f>IF(ISBLANK(VLOOKUP($B61,برا!$A$2:AK39,12,FALSE)),"",VLOOKUP($B61,برا!$A$2:AK39,12,FALSE))</f>
        <v/>
      </c>
      <c r="N61" s="10" t="str">
        <f>IF(ISBLANK(VLOOKUP($B61,برا!$A$2:AL39,13,FALSE)),"",VLOOKUP($B61,برا!$A$2:AL39,13,FALSE))</f>
        <v/>
      </c>
      <c r="O61" s="10" t="str">
        <f>IF(ISBLANK(VLOOKUP($B61,برا!$A$2:AM39,14,FALSE)),"",VLOOKUP($B61,برا!$A$2:AM39,14,FALSE))</f>
        <v/>
      </c>
      <c r="P61" s="10" t="str">
        <f>IF(ISBLANK(VLOOKUP($B61,برا!$A$2:AN39,15,FALSE)),"",VLOOKUP($B61,برا!$A$2:AN39,15,FALSE))</f>
        <v/>
      </c>
      <c r="Q61" s="10" t="str">
        <f>IF(ISBLANK(VLOOKUP($B61,برا!$A$2:AO39,16,FALSE)),"",VLOOKUP($B61,برا!$A$2:AO39,16,FALSE))</f>
        <v/>
      </c>
      <c r="R61" s="199"/>
      <c r="S61" s="10" t="str">
        <f>IF(ISBLANK(VLOOKUP($B61,برا!$A$2:AQ39,17,FALSE)),"",VLOOKUP($B61,برا!$A$2:AQ39,17,FALSE))</f>
        <v/>
      </c>
      <c r="T61" s="10"/>
      <c r="U61" s="10" t="str">
        <f>IF(ISBLANK(VLOOKUP($B61,برا!$A$2:AS39,18,FALSE)),"",VLOOKUP($B61,برا!$A$2:AS39,18,FALSE))</f>
        <v/>
      </c>
      <c r="V61" s="10" t="str">
        <f>IF(ISBLANK(VLOOKUP($B61,برا!$A$2:AT39,19,FALSE)),"",VLOOKUP($B61,برا!$A$2:AT39,19,FALSE))</f>
        <v/>
      </c>
      <c r="W61" s="10" t="str">
        <f>IF(ISBLANK(VLOOKUP($B61,برا!$A$2:AU39,20,FALSE)),"",VLOOKUP($B61,برا!$A$2:AU39,20,FALSE))</f>
        <v/>
      </c>
      <c r="X61" s="10">
        <f>IF(ISBLANK(VLOOKUP($B61,برا!$A$2:AU39,21,FALSE)),0,VLOOKUP($B61,برا!$A$2:AU39,21,FALSE))</f>
        <v>0</v>
      </c>
      <c r="Y61" s="10">
        <f>IF(ISBLANK(VLOOKUP($B61,برا!$A$2:AV39,22,FALSE)),0,VLOOKUP($B61,برا!$A$2:AV39,22,FALSE))</f>
        <v>0</v>
      </c>
      <c r="Z61" s="10">
        <f>IF(ISBLANK(VLOOKUP($B61,برا!$A$2:AW39,23,FALSE)),0,VLOOKUP($B61,برا!$A$2:AW39,23,FALSE))</f>
        <v>0</v>
      </c>
      <c r="AA61" s="10">
        <f>IF(ISBLANK(VLOOKUP($B61,برا!$A$2:AX39,24,FALSE)),0,VLOOKUP($B61,برا!$A$2:AX39,24,FALSE))</f>
        <v>0</v>
      </c>
      <c r="AB61" s="10">
        <f>IF(ISBLANK(VLOOKUP($B61,برا!$A$2:AY39,25,FALSE)),0,VLOOKUP($B61,برا!$A$2:AY39,25,FALSE))</f>
        <v>0</v>
      </c>
      <c r="AC61" s="10">
        <f>IF(ISBLANK(VLOOKUP($B61,برا!$A$2:AZ39,26,FALSE)),0,VLOOKUP($B61,برا!$A$2:AZ39,26,FALSE))</f>
        <v>0</v>
      </c>
      <c r="AD61" s="10">
        <f>IF(ISBLANK(VLOOKUP($B61,برا!$A$2:BA39,27,FALSE)),0,VLOOKUP($B61,برا!$A$2:BA39,27,FALSE))</f>
        <v>0</v>
      </c>
      <c r="AE61" s="10">
        <f>IF(ISBLANK(VLOOKUP($B61,برا!$A$2:BB39,28,FALSE)),0,VLOOKUP($B61,برا!$A$2:BB39,28,FALSE))</f>
        <v>0</v>
      </c>
      <c r="AF61" s="10">
        <f>IF(ISBLANK(VLOOKUP($B61,برا!$A$2:BC39,29,FALSE)),0,VLOOKUP($B61,برا!$A$2:BC39,29,FALSE))</f>
        <v>0</v>
      </c>
      <c r="AG61" s="10">
        <f>IF(ISBLANK(VLOOKUP($B61,برا!$A$2:BD39,30,FALSE)),0,VLOOKUP($B61,برا!$A$2:BD39,30,FALSE))</f>
        <v>0</v>
      </c>
      <c r="AH61" s="10">
        <f>IF(ISBLANK(VLOOKUP($B61,برا!$A$2:BE39,31,FALSE)),0,VLOOKUP($B61,برا!$A$2:BE39,31,FALSE))</f>
        <v>0</v>
      </c>
      <c r="AI61" s="10">
        <f>IF(ISBLANK(VLOOKUP($B61,برا!$A$2:BF39,32,FALSE)),0,VLOOKUP($B61,برا!$A$2:BF39,32,FALSE))</f>
        <v>0</v>
      </c>
      <c r="AJ61" s="10">
        <f>IF(ISBLANK(VLOOKUP($B61,برا!$A$2:BG39,33,FALSE)),0,VLOOKUP($B61,برا!$A$2:BG39,33,FALSE))</f>
        <v>0</v>
      </c>
      <c r="AK61" s="10">
        <f>IF(ISBLANK(VLOOKUP($B61,برا!$A$2:BH39,34,FALSE)),0,VLOOKUP($B61,برا!$A$2:BH39,34,FALSE))</f>
        <v>0</v>
      </c>
      <c r="AL61" s="10">
        <f>IF(ISBLANK(VLOOKUP($B61,برا!$A$2:BI39,35,FALSE)),0,VLOOKUP($B61,برا!$A$2:BI39,35,FALSE))</f>
        <v>0</v>
      </c>
      <c r="AM61" s="10">
        <f>IF(ISBLANK(VLOOKUP($B61,برا!$A$2:BJ39,36,FALSE)),0,VLOOKUP($B61,برا!$A$2:BJ39,36,FALSE))</f>
        <v>0</v>
      </c>
      <c r="AN61" s="10" t="str">
        <f t="shared" si="3"/>
        <v/>
      </c>
    </row>
    <row r="62" spans="2:40" ht="48" customHeight="1" thickTop="1" thickBot="1">
      <c r="B62" s="10" t="str">
        <f>برا!A11</f>
        <v>زغوان</v>
      </c>
      <c r="C62" s="10" t="str">
        <f>IF(ISBLANK(VLOOKUP($B62,برا!$A$2:AJ40,3,FALSE)),"",VLOOKUP($B62,برا!$A$2:AJ40,3,FALSE))</f>
        <v/>
      </c>
      <c r="D62" s="10" t="str">
        <f>IF(ISBLANK(VLOOKUP($B62,برا!$A$2:AK40,2,FALSE)),"",VLOOKUP($B62,برا!$A$2:AK40,2,FALSE))</f>
        <v/>
      </c>
      <c r="E62" s="10" t="str">
        <f>IF(ISBLANK(VLOOKUP($B62,برا!$A$2:AG40,4,FALSE)),"",VLOOKUP($B62,برا!$A$2:AG40,4,FALSE))</f>
        <v/>
      </c>
      <c r="F62" s="10" t="str">
        <f>IF(ISBLANK(VLOOKUP($B62,برا!$A$2:AG40,5,FALSE)),"",VLOOKUP($B62,برا!$A$2:AG40,5,FALSE))</f>
        <v/>
      </c>
      <c r="G62" s="10" t="str">
        <f>IF(ISBLANK(VLOOKUP($B62,برا!$A$2:AG40,6,FALSE)),"",VLOOKUP($B62,برا!$A$2:AG40,6,FALSE))</f>
        <v/>
      </c>
      <c r="H62" s="10" t="str">
        <f>IF(ISBLANK(VLOOKUP($B62,برا!$A$2:AE40,7,FALSE)),"",VLOOKUP($B62,برا!$A$2:AE40,7,FALSE))</f>
        <v/>
      </c>
      <c r="I62" s="10" t="str">
        <f>IF(ISBLANK(VLOOKUP($B62,برا!$A$2:AF40,8,FALSE)),"",VLOOKUP($B62,برا!$A$2:AF40,8,FALSE))</f>
        <v/>
      </c>
      <c r="J62" s="10" t="str">
        <f>IF(ISBLANK(VLOOKUP($B62,برا!$A$2:AG40,9,FALSE)),"",VLOOKUP($B62,برا!$A$2:AG40,9,FALSE))</f>
        <v/>
      </c>
      <c r="K62" s="10" t="str">
        <f>IF(ISBLANK(VLOOKUP($B62,برا!$A$2:AJ40,10,FALSE)),"",VLOOKUP($B62,برا!$A$2:AJ40,10,FALSE))</f>
        <v/>
      </c>
      <c r="L62" s="10" t="str">
        <f>IF(ISBLANK(VLOOKUP($B62,برا!$A$2:AK40,11,FALSE)),"",VLOOKUP($B62,برا!$A$2:AK40,11,FALSE))</f>
        <v/>
      </c>
      <c r="M62" s="10" t="str">
        <f>IF(ISBLANK(VLOOKUP($B62,برا!$A$2:AK40,12,FALSE)),"",VLOOKUP($B62,برا!$A$2:AK40,12,FALSE))</f>
        <v/>
      </c>
      <c r="N62" s="10" t="str">
        <f>IF(ISBLANK(VLOOKUP($B62,برا!$A$2:AL40,13,FALSE)),"",VLOOKUP($B62,برا!$A$2:AL40,13,FALSE))</f>
        <v/>
      </c>
      <c r="O62" s="10" t="str">
        <f>IF(ISBLANK(VLOOKUP($B62,برا!$A$2:AM40,14,FALSE)),"",VLOOKUP($B62,برا!$A$2:AM40,14,FALSE))</f>
        <v/>
      </c>
      <c r="P62" s="10" t="str">
        <f>IF(ISBLANK(VLOOKUP($B62,برا!$A$2:AN40,15,FALSE)),"",VLOOKUP($B62,برا!$A$2:AN40,15,FALSE))</f>
        <v/>
      </c>
      <c r="Q62" s="10" t="str">
        <f>IF(ISBLANK(VLOOKUP($B62,برا!$A$2:AO40,16,FALSE)),"",VLOOKUP($B62,برا!$A$2:AO40,16,FALSE))</f>
        <v/>
      </c>
      <c r="R62" s="199"/>
      <c r="S62" s="10" t="str">
        <f>IF(ISBLANK(VLOOKUP($B62,برا!$A$2:AQ40,17,FALSE)),"",VLOOKUP($B62,برا!$A$2:AQ40,17,FALSE))</f>
        <v/>
      </c>
      <c r="T62" s="10"/>
      <c r="U62" s="10" t="str">
        <f>IF(ISBLANK(VLOOKUP($B62,برا!$A$2:AS40,18,FALSE)),"",VLOOKUP($B62,برا!$A$2:AS40,18,FALSE))</f>
        <v/>
      </c>
      <c r="V62" s="10" t="str">
        <f>IF(ISBLANK(VLOOKUP($B62,برا!$A$2:AT40,19,FALSE)),"",VLOOKUP($B62,برا!$A$2:AT40,19,FALSE))</f>
        <v/>
      </c>
      <c r="W62" s="10" t="str">
        <f>IF(ISBLANK(VLOOKUP($B62,برا!$A$2:AU40,20,FALSE)),"",VLOOKUP($B62,برا!$A$2:AU40,20,FALSE))</f>
        <v/>
      </c>
      <c r="X62" s="10">
        <f>IF(ISBLANK(VLOOKUP($B62,برا!$A$2:AU40,21,FALSE)),0,VLOOKUP($B62,برا!$A$2:AU40,21,FALSE))</f>
        <v>0</v>
      </c>
      <c r="Y62" s="10">
        <f>IF(ISBLANK(VLOOKUP($B62,برا!$A$2:AV40,22,FALSE)),0,VLOOKUP($B62,برا!$A$2:AV40,22,FALSE))</f>
        <v>0</v>
      </c>
      <c r="Z62" s="10">
        <f>IF(ISBLANK(VLOOKUP($B62,برا!$A$2:AW40,23,FALSE)),0,VLOOKUP($B62,برا!$A$2:AW40,23,FALSE))</f>
        <v>0</v>
      </c>
      <c r="AA62" s="10">
        <f>IF(ISBLANK(VLOOKUP($B62,برا!$A$2:AX40,24,FALSE)),0,VLOOKUP($B62,برا!$A$2:AX40,24,FALSE))</f>
        <v>0</v>
      </c>
      <c r="AB62" s="10">
        <f>IF(ISBLANK(VLOOKUP($B62,برا!$A$2:AY40,25,FALSE)),0,VLOOKUP($B62,برا!$A$2:AY40,25,FALSE))</f>
        <v>0</v>
      </c>
      <c r="AC62" s="10">
        <f>IF(ISBLANK(VLOOKUP($B62,برا!$A$2:AZ40,26,FALSE)),0,VLOOKUP($B62,برا!$A$2:AZ40,26,FALSE))</f>
        <v>0</v>
      </c>
      <c r="AD62" s="10">
        <f>IF(ISBLANK(VLOOKUP($B62,برا!$A$2:BA40,27,FALSE)),0,VLOOKUP($B62,برا!$A$2:BA40,27,FALSE))</f>
        <v>0</v>
      </c>
      <c r="AE62" s="10">
        <f>IF(ISBLANK(VLOOKUP($B62,برا!$A$2:BB40,28,FALSE)),0,VLOOKUP($B62,برا!$A$2:BB40,28,FALSE))</f>
        <v>0</v>
      </c>
      <c r="AF62" s="10">
        <f>IF(ISBLANK(VLOOKUP($B62,برا!$A$2:BC40,29,FALSE)),0,VLOOKUP($B62,برا!$A$2:BC40,29,FALSE))</f>
        <v>0</v>
      </c>
      <c r="AG62" s="10">
        <f>IF(ISBLANK(VLOOKUP($B62,برا!$A$2:BD40,30,FALSE)),0,VLOOKUP($B62,برا!$A$2:BD40,30,FALSE))</f>
        <v>0</v>
      </c>
      <c r="AH62" s="10">
        <f>IF(ISBLANK(VLOOKUP($B62,برا!$A$2:BE40,31,FALSE)),0,VLOOKUP($B62,برا!$A$2:BE40,31,FALSE))</f>
        <v>0</v>
      </c>
      <c r="AI62" s="10">
        <f>IF(ISBLANK(VLOOKUP($B62,برا!$A$2:BF40,32,FALSE)),0,VLOOKUP($B62,برا!$A$2:BF40,32,FALSE))</f>
        <v>0</v>
      </c>
      <c r="AJ62" s="10">
        <f>IF(ISBLANK(VLOOKUP($B62,برا!$A$2:BG40,33,FALSE)),0,VLOOKUP($B62,برا!$A$2:BG40,33,FALSE))</f>
        <v>0</v>
      </c>
      <c r="AK62" s="10">
        <f>IF(ISBLANK(VLOOKUP($B62,برا!$A$2:BH40,34,FALSE)),0,VLOOKUP($B62,برا!$A$2:BH40,34,FALSE))</f>
        <v>0</v>
      </c>
      <c r="AL62" s="10">
        <f>IF(ISBLANK(VLOOKUP($B62,برا!$A$2:BI40,35,FALSE)),0,VLOOKUP($B62,برا!$A$2:BI40,35,FALSE))</f>
        <v>0</v>
      </c>
      <c r="AM62" s="10">
        <f>IF(ISBLANK(VLOOKUP($B62,برا!$A$2:BJ40,36,FALSE)),0,VLOOKUP($B62,برا!$A$2:BJ40,36,FALSE))</f>
        <v>0</v>
      </c>
      <c r="AN62" s="10" t="str">
        <f t="shared" si="3"/>
        <v/>
      </c>
    </row>
    <row r="63" spans="2:40" ht="48" customHeight="1" thickTop="1" thickBot="1">
      <c r="B63" s="10" t="str">
        <f>برا!A12</f>
        <v>جندوبة</v>
      </c>
      <c r="C63" s="10" t="str">
        <f>IF(ISBLANK(VLOOKUP($B63,برا!$A$2:AJ41,3,FALSE)),"",VLOOKUP($B63,برا!$A$2:AJ41,3,FALSE))</f>
        <v/>
      </c>
      <c r="D63" s="10" t="str">
        <f>IF(ISBLANK(VLOOKUP($B63,برا!$A$2:AK41,2,FALSE)),"",VLOOKUP($B63,برا!$A$2:AK41,2,FALSE))</f>
        <v/>
      </c>
      <c r="E63" s="10" t="str">
        <f>IF(ISBLANK(VLOOKUP($B63,برا!$A$2:AG41,4,FALSE)),"",VLOOKUP($B63,برا!$A$2:AG41,4,FALSE))</f>
        <v/>
      </c>
      <c r="F63" s="10" t="str">
        <f>IF(ISBLANK(VLOOKUP($B63,برا!$A$2:AG41,5,FALSE)),"",VLOOKUP($B63,برا!$A$2:AG41,5,FALSE))</f>
        <v/>
      </c>
      <c r="G63" s="10" t="str">
        <f>IF(ISBLANK(VLOOKUP($B63,برا!$A$2:AG41,6,FALSE)),"",VLOOKUP($B63,برا!$A$2:AG41,6,FALSE))</f>
        <v/>
      </c>
      <c r="H63" s="10" t="str">
        <f>IF(ISBLANK(VLOOKUP($B63,برا!$A$2:AE41,7,FALSE)),"",VLOOKUP($B63,برا!$A$2:AE41,7,FALSE))</f>
        <v/>
      </c>
      <c r="I63" s="10" t="str">
        <f>IF(ISBLANK(VLOOKUP($B63,برا!$A$2:AF41,8,FALSE)),"",VLOOKUP($B63,برا!$A$2:AF41,8,FALSE))</f>
        <v/>
      </c>
      <c r="J63" s="10" t="str">
        <f>IF(ISBLANK(VLOOKUP($B63,برا!$A$2:AG41,9,FALSE)),"",VLOOKUP($B63,برا!$A$2:AG41,9,FALSE))</f>
        <v/>
      </c>
      <c r="K63" s="10" t="str">
        <f>IF(ISBLANK(VLOOKUP($B63,برا!$A$2:AJ41,10,FALSE)),"",VLOOKUP($B63,برا!$A$2:AJ41,10,FALSE))</f>
        <v/>
      </c>
      <c r="L63" s="10" t="str">
        <f>IF(ISBLANK(VLOOKUP($B63,برا!$A$2:AK41,11,FALSE)),"",VLOOKUP($B63,برا!$A$2:AK41,11,FALSE))</f>
        <v/>
      </c>
      <c r="M63" s="10" t="str">
        <f>IF(ISBLANK(VLOOKUP($B63,برا!$A$2:AK41,12,FALSE)),"",VLOOKUP($B63,برا!$A$2:AK41,12,FALSE))</f>
        <v/>
      </c>
      <c r="N63" s="10" t="str">
        <f>IF(ISBLANK(VLOOKUP($B63,برا!$A$2:AL41,13,FALSE)),"",VLOOKUP($B63,برا!$A$2:AL41,13,FALSE))</f>
        <v/>
      </c>
      <c r="O63" s="10" t="str">
        <f>IF(ISBLANK(VLOOKUP($B63,برا!$A$2:AM41,14,FALSE)),"",VLOOKUP($B63,برا!$A$2:AM41,14,FALSE))</f>
        <v/>
      </c>
      <c r="P63" s="10" t="str">
        <f>IF(ISBLANK(VLOOKUP($B63,برا!$A$2:AN41,15,FALSE)),"",VLOOKUP($B63,برا!$A$2:AN41,15,FALSE))</f>
        <v/>
      </c>
      <c r="Q63" s="10" t="str">
        <f>IF(ISBLANK(VLOOKUP($B63,برا!$A$2:AO41,16,FALSE)),"",VLOOKUP($B63,برا!$A$2:AO41,16,FALSE))</f>
        <v/>
      </c>
      <c r="R63" s="199"/>
      <c r="S63" s="10" t="str">
        <f>IF(ISBLANK(VLOOKUP($B63,برا!$A$2:AQ41,17,FALSE)),"",VLOOKUP($B63,برا!$A$2:AQ41,17,FALSE))</f>
        <v/>
      </c>
      <c r="T63" s="10"/>
      <c r="U63" s="10" t="str">
        <f>IF(ISBLANK(VLOOKUP($B63,برا!$A$2:AS41,18,FALSE)),"",VLOOKUP($B63,برا!$A$2:AS41,18,FALSE))</f>
        <v/>
      </c>
      <c r="V63" s="10" t="str">
        <f>IF(ISBLANK(VLOOKUP($B63,برا!$A$2:AT41,19,FALSE)),"",VLOOKUP($B63,برا!$A$2:AT41,19,FALSE))</f>
        <v/>
      </c>
      <c r="W63" s="10" t="str">
        <f>IF(ISBLANK(VLOOKUP($B63,برا!$A$2:AU41,20,FALSE)),"",VLOOKUP($B63,برا!$A$2:AU41,20,FALSE))</f>
        <v/>
      </c>
      <c r="X63" s="10">
        <f>IF(ISBLANK(VLOOKUP($B63,برا!$A$2:AU41,21,FALSE)),0,VLOOKUP($B63,برا!$A$2:AU41,21,FALSE))</f>
        <v>0</v>
      </c>
      <c r="Y63" s="10">
        <f>IF(ISBLANK(VLOOKUP($B63,برا!$A$2:AV41,22,FALSE)),0,VLOOKUP($B63,برا!$A$2:AV41,22,FALSE))</f>
        <v>0</v>
      </c>
      <c r="Z63" s="10">
        <f>IF(ISBLANK(VLOOKUP($B63,برا!$A$2:AW41,23,FALSE)),0,VLOOKUP($B63,برا!$A$2:AW41,23,FALSE))</f>
        <v>0</v>
      </c>
      <c r="AA63" s="10">
        <f>IF(ISBLANK(VLOOKUP($B63,برا!$A$2:AX41,24,FALSE)),0,VLOOKUP($B63,برا!$A$2:AX41,24,FALSE))</f>
        <v>0</v>
      </c>
      <c r="AB63" s="10">
        <f>IF(ISBLANK(VLOOKUP($B63,برا!$A$2:AY41,25,FALSE)),0,VLOOKUP($B63,برا!$A$2:AY41,25,FALSE))</f>
        <v>0</v>
      </c>
      <c r="AC63" s="10">
        <f>IF(ISBLANK(VLOOKUP($B63,برا!$A$2:AZ41,26,FALSE)),0,VLOOKUP($B63,برا!$A$2:AZ41,26,FALSE))</f>
        <v>0</v>
      </c>
      <c r="AD63" s="10">
        <f>IF(ISBLANK(VLOOKUP($B63,برا!$A$2:BA41,27,FALSE)),0,VLOOKUP($B63,برا!$A$2:BA41,27,FALSE))</f>
        <v>0</v>
      </c>
      <c r="AE63" s="10">
        <f>IF(ISBLANK(VLOOKUP($B63,برا!$A$2:BB41,28,FALSE)),0,VLOOKUP($B63,برا!$A$2:BB41,28,FALSE))</f>
        <v>0</v>
      </c>
      <c r="AF63" s="10">
        <f>IF(ISBLANK(VLOOKUP($B63,برا!$A$2:BC41,29,FALSE)),0,VLOOKUP($B63,برا!$A$2:BC41,29,FALSE))</f>
        <v>0</v>
      </c>
      <c r="AG63" s="10">
        <f>IF(ISBLANK(VLOOKUP($B63,برا!$A$2:BD41,30,FALSE)),0,VLOOKUP($B63,برا!$A$2:BD41,30,FALSE))</f>
        <v>0</v>
      </c>
      <c r="AH63" s="10">
        <f>IF(ISBLANK(VLOOKUP($B63,برا!$A$2:BE41,31,FALSE)),0,VLOOKUP($B63,برا!$A$2:BE41,31,FALSE))</f>
        <v>0</v>
      </c>
      <c r="AI63" s="10">
        <f>IF(ISBLANK(VLOOKUP($B63,برا!$A$2:BF41,32,FALSE)),0,VLOOKUP($B63,برا!$A$2:BF41,32,FALSE))</f>
        <v>0</v>
      </c>
      <c r="AJ63" s="10">
        <f>IF(ISBLANK(VLOOKUP($B63,برا!$A$2:BG41,33,FALSE)),0,VLOOKUP($B63,برا!$A$2:BG41,33,FALSE))</f>
        <v>0</v>
      </c>
      <c r="AK63" s="10">
        <f>IF(ISBLANK(VLOOKUP($B63,برا!$A$2:BH41,34,FALSE)),0,VLOOKUP($B63,برا!$A$2:BH41,34,FALSE))</f>
        <v>0</v>
      </c>
      <c r="AL63" s="10">
        <f>IF(ISBLANK(VLOOKUP($B63,برا!$A$2:BI41,35,FALSE)),0,VLOOKUP($B63,برا!$A$2:BI41,35,FALSE))</f>
        <v>0</v>
      </c>
      <c r="AM63" s="10">
        <f>IF(ISBLANK(VLOOKUP($B63,برا!$A$2:BJ41,36,FALSE)),0,VLOOKUP($B63,برا!$A$2:BJ41,36,FALSE))</f>
        <v>0</v>
      </c>
      <c r="AN63" s="10" t="str">
        <f t="shared" si="3"/>
        <v/>
      </c>
    </row>
    <row r="64" spans="2:40" ht="48" customHeight="1" thickTop="1" thickBot="1">
      <c r="B64" s="10" t="str">
        <f>برا!A13</f>
        <v>تونس</v>
      </c>
      <c r="C64" s="10" t="str">
        <f>IF(ISBLANK(VLOOKUP($B64,برا!$A$2:AJ42,3,FALSE)),"",VLOOKUP($B64,برا!$A$2:AJ42,3,FALSE))</f>
        <v/>
      </c>
      <c r="D64" s="10" t="str">
        <f>IF(ISBLANK(VLOOKUP($B64,برا!$A$2:AK42,2,FALSE)),"",VLOOKUP($B64,برا!$A$2:AK42,2,FALSE))</f>
        <v/>
      </c>
      <c r="E64" s="10" t="str">
        <f>IF(ISBLANK(VLOOKUP($B64,برا!$A$2:AG42,4,FALSE)),"",VLOOKUP($B64,برا!$A$2:AG42,4,FALSE))</f>
        <v/>
      </c>
      <c r="F64" s="10" t="str">
        <f>IF(ISBLANK(VLOOKUP($B64,برا!$A$2:AG42,5,FALSE)),"",VLOOKUP($B64,برا!$A$2:AG42,5,FALSE))</f>
        <v/>
      </c>
      <c r="G64" s="10" t="str">
        <f>IF(ISBLANK(VLOOKUP($B64,برا!$A$2:AG42,6,FALSE)),"",VLOOKUP($B64,برا!$A$2:AG42,6,FALSE))</f>
        <v/>
      </c>
      <c r="H64" s="10" t="str">
        <f>IF(ISBLANK(VLOOKUP($B64,برا!$A$2:AE42,7,FALSE)),"",VLOOKUP($B64,برا!$A$2:AE42,7,FALSE))</f>
        <v/>
      </c>
      <c r="I64" s="10" t="str">
        <f>IF(ISBLANK(VLOOKUP($B64,برا!$A$2:AF42,8,FALSE)),"",VLOOKUP($B64,برا!$A$2:AF42,8,FALSE))</f>
        <v/>
      </c>
      <c r="J64" s="10" t="str">
        <f>IF(ISBLANK(VLOOKUP($B64,برا!$A$2:AG42,9,FALSE)),"",VLOOKUP($B64,برا!$A$2:AG42,9,FALSE))</f>
        <v/>
      </c>
      <c r="K64" s="10" t="str">
        <f>IF(ISBLANK(VLOOKUP($B64,برا!$A$2:AJ42,10,FALSE)),"",VLOOKUP($B64,برا!$A$2:AJ42,10,FALSE))</f>
        <v/>
      </c>
      <c r="L64" s="10" t="str">
        <f>IF(ISBLANK(VLOOKUP($B64,برا!$A$2:AK42,11,FALSE)),"",VLOOKUP($B64,برا!$A$2:AK42,11,FALSE))</f>
        <v/>
      </c>
      <c r="M64" s="10" t="str">
        <f>IF(ISBLANK(VLOOKUP($B64,برا!$A$2:AK42,12,FALSE)),"",VLOOKUP($B64,برا!$A$2:AK42,12,FALSE))</f>
        <v/>
      </c>
      <c r="N64" s="10" t="str">
        <f>IF(ISBLANK(VLOOKUP($B64,برا!$A$2:AL42,13,FALSE)),"",VLOOKUP($B64,برا!$A$2:AL42,13,FALSE))</f>
        <v/>
      </c>
      <c r="O64" s="10" t="str">
        <f>IF(ISBLANK(VLOOKUP($B64,برا!$A$2:AM42,14,FALSE)),"",VLOOKUP($B64,برا!$A$2:AM42,14,FALSE))</f>
        <v/>
      </c>
      <c r="P64" s="10" t="str">
        <f>IF(ISBLANK(VLOOKUP($B64,برا!$A$2:AN42,15,FALSE)),"",VLOOKUP($B64,برا!$A$2:AN42,15,FALSE))</f>
        <v/>
      </c>
      <c r="Q64" s="10" t="str">
        <f>IF(ISBLANK(VLOOKUP($B64,برا!$A$2:AO42,16,FALSE)),"",VLOOKUP($B64,برا!$A$2:AO42,16,FALSE))</f>
        <v/>
      </c>
      <c r="R64" s="199"/>
      <c r="S64" s="10" t="str">
        <f>IF(ISBLANK(VLOOKUP($B64,برا!$A$2:AQ42,17,FALSE)),"",VLOOKUP($B64,برا!$A$2:AQ42,17,FALSE))</f>
        <v/>
      </c>
      <c r="T64" s="10"/>
      <c r="U64" s="10" t="str">
        <f>IF(ISBLANK(VLOOKUP($B64,برا!$A$2:AS42,18,FALSE)),"",VLOOKUP($B64,برا!$A$2:AS42,18,FALSE))</f>
        <v/>
      </c>
      <c r="V64" s="10" t="str">
        <f>IF(ISBLANK(VLOOKUP($B64,برا!$A$2:AT42,19,FALSE)),"",VLOOKUP($B64,برا!$A$2:AT42,19,FALSE))</f>
        <v/>
      </c>
      <c r="W64" s="10" t="str">
        <f>IF(ISBLANK(VLOOKUP($B64,برا!$A$2:AU42,20,FALSE)),"",VLOOKUP($B64,برا!$A$2:AU42,20,FALSE))</f>
        <v/>
      </c>
      <c r="X64" s="10">
        <f>IF(ISBLANK(VLOOKUP($B64,برا!$A$2:AU42,21,FALSE)),0,VLOOKUP($B64,برا!$A$2:AU42,21,FALSE))</f>
        <v>0</v>
      </c>
      <c r="Y64" s="10">
        <f>IF(ISBLANK(VLOOKUP($B64,برا!$A$2:AV42,22,FALSE)),0,VLOOKUP($B64,برا!$A$2:AV42,22,FALSE))</f>
        <v>0</v>
      </c>
      <c r="Z64" s="10">
        <f>IF(ISBLANK(VLOOKUP($B64,برا!$A$2:AW42,23,FALSE)),0,VLOOKUP($B64,برا!$A$2:AW42,23,FALSE))</f>
        <v>0</v>
      </c>
      <c r="AA64" s="10">
        <f>IF(ISBLANK(VLOOKUP($B64,برا!$A$2:AX42,24,FALSE)),0,VLOOKUP($B64,برا!$A$2:AX42,24,FALSE))</f>
        <v>0</v>
      </c>
      <c r="AB64" s="10">
        <f>IF(ISBLANK(VLOOKUP($B64,برا!$A$2:AY42,25,FALSE)),0,VLOOKUP($B64,برا!$A$2:AY42,25,FALSE))</f>
        <v>0</v>
      </c>
      <c r="AC64" s="10">
        <f>IF(ISBLANK(VLOOKUP($B64,برا!$A$2:AZ42,26,FALSE)),0,VLOOKUP($B64,برا!$A$2:AZ42,26,FALSE))</f>
        <v>0</v>
      </c>
      <c r="AD64" s="10">
        <f>IF(ISBLANK(VLOOKUP($B64,برا!$A$2:BA42,27,FALSE)),0,VLOOKUP($B64,برا!$A$2:BA42,27,FALSE))</f>
        <v>0</v>
      </c>
      <c r="AE64" s="10">
        <f>IF(ISBLANK(VLOOKUP($B64,برا!$A$2:BB42,28,FALSE)),0,VLOOKUP($B64,برا!$A$2:BB42,28,FALSE))</f>
        <v>0</v>
      </c>
      <c r="AF64" s="10">
        <f>IF(ISBLANK(VLOOKUP($B64,برا!$A$2:BC42,29,FALSE)),0,VLOOKUP($B64,برا!$A$2:BC42,29,FALSE))</f>
        <v>0</v>
      </c>
      <c r="AG64" s="10">
        <f>IF(ISBLANK(VLOOKUP($B64,برا!$A$2:BD42,30,FALSE)),0,VLOOKUP($B64,برا!$A$2:BD42,30,FALSE))</f>
        <v>0</v>
      </c>
      <c r="AH64" s="10">
        <f>IF(ISBLANK(VLOOKUP($B64,برا!$A$2:BE42,31,FALSE)),0,VLOOKUP($B64,برا!$A$2:BE42,31,FALSE))</f>
        <v>0</v>
      </c>
      <c r="AI64" s="10">
        <f>IF(ISBLANK(VLOOKUP($B64,برا!$A$2:BF42,32,FALSE)),0,VLOOKUP($B64,برا!$A$2:BF42,32,FALSE))</f>
        <v>0</v>
      </c>
      <c r="AJ64" s="10">
        <f>IF(ISBLANK(VLOOKUP($B64,برا!$A$2:BG42,33,FALSE)),0,VLOOKUP($B64,برا!$A$2:BG42,33,FALSE))</f>
        <v>0</v>
      </c>
      <c r="AK64" s="10">
        <f>IF(ISBLANK(VLOOKUP($B64,برا!$A$2:BH42,34,FALSE)),0,VLOOKUP($B64,برا!$A$2:BH42,34,FALSE))</f>
        <v>0</v>
      </c>
      <c r="AL64" s="10">
        <f>IF(ISBLANK(VLOOKUP($B64,برا!$A$2:BI42,35,FALSE)),0,VLOOKUP($B64,برا!$A$2:BI42,35,FALSE))</f>
        <v>0</v>
      </c>
      <c r="AM64" s="10">
        <f>IF(ISBLANK(VLOOKUP($B64,برا!$A$2:BJ42,36,FALSE)),0,VLOOKUP($B64,برا!$A$2:BJ42,36,FALSE))</f>
        <v>0</v>
      </c>
      <c r="AN64" s="10" t="str">
        <f t="shared" si="3"/>
        <v/>
      </c>
    </row>
    <row r="65" spans="2:40" ht="48" customHeight="1" thickTop="1" thickBot="1">
      <c r="B65" s="10" t="str">
        <f>برا!A14</f>
        <v>توزر</v>
      </c>
      <c r="C65" s="10" t="str">
        <f>IF(ISBLANK(VLOOKUP($B65,برا!$A$2:AJ43,3,FALSE)),"",VLOOKUP($B65,برا!$A$2:AJ43,3,FALSE))</f>
        <v/>
      </c>
      <c r="D65" s="10" t="str">
        <f>IF(ISBLANK(VLOOKUP($B65,برا!$A$2:AK43,2,FALSE)),"",VLOOKUP($B65,برا!$A$2:AK43,2,FALSE))</f>
        <v/>
      </c>
      <c r="E65" s="10" t="str">
        <f>IF(ISBLANK(VLOOKUP($B65,برا!$A$2:AG43,4,FALSE)),"",VLOOKUP($B65,برا!$A$2:AG43,4,FALSE))</f>
        <v/>
      </c>
      <c r="F65" s="10" t="str">
        <f>IF(ISBLANK(VLOOKUP($B65,برا!$A$2:AG43,5,FALSE)),"",VLOOKUP($B65,برا!$A$2:AG43,5,FALSE))</f>
        <v/>
      </c>
      <c r="G65" s="10" t="str">
        <f>IF(ISBLANK(VLOOKUP($B65,برا!$A$2:AG43,6,FALSE)),"",VLOOKUP($B65,برا!$A$2:AG43,6,FALSE))</f>
        <v/>
      </c>
      <c r="H65" s="10" t="str">
        <f>IF(ISBLANK(VLOOKUP($B65,برا!$A$2:AE43,7,FALSE)),"",VLOOKUP($B65,برا!$A$2:AE43,7,FALSE))</f>
        <v/>
      </c>
      <c r="I65" s="10" t="str">
        <f>IF(ISBLANK(VLOOKUP($B65,برا!$A$2:AF43,8,FALSE)),"",VLOOKUP($B65,برا!$A$2:AF43,8,FALSE))</f>
        <v/>
      </c>
      <c r="J65" s="10" t="str">
        <f>IF(ISBLANK(VLOOKUP($B65,برا!$A$2:AG43,9,FALSE)),"",VLOOKUP($B65,برا!$A$2:AG43,9,FALSE))</f>
        <v/>
      </c>
      <c r="K65" s="10" t="str">
        <f>IF(ISBLANK(VLOOKUP($B65,برا!$A$2:AJ43,10,FALSE)),"",VLOOKUP($B65,برا!$A$2:AJ43,10,FALSE))</f>
        <v/>
      </c>
      <c r="L65" s="10" t="str">
        <f>IF(ISBLANK(VLOOKUP($B65,برا!$A$2:AK43,11,FALSE)),"",VLOOKUP($B65,برا!$A$2:AK43,11,FALSE))</f>
        <v/>
      </c>
      <c r="M65" s="10" t="str">
        <f>IF(ISBLANK(VLOOKUP($B65,برا!$A$2:AK43,12,FALSE)),"",VLOOKUP($B65,برا!$A$2:AK43,12,FALSE))</f>
        <v/>
      </c>
      <c r="N65" s="10" t="str">
        <f>IF(ISBLANK(VLOOKUP($B65,برا!$A$2:AL43,13,FALSE)),"",VLOOKUP($B65,برا!$A$2:AL43,13,FALSE))</f>
        <v/>
      </c>
      <c r="O65" s="10" t="str">
        <f>IF(ISBLANK(VLOOKUP($B65,برا!$A$2:AM43,14,FALSE)),"",VLOOKUP($B65,برا!$A$2:AM43,14,FALSE))</f>
        <v/>
      </c>
      <c r="P65" s="10" t="str">
        <f>IF(ISBLANK(VLOOKUP($B65,برا!$A$2:AN43,15,FALSE)),"",VLOOKUP($B65,برا!$A$2:AN43,15,FALSE))</f>
        <v/>
      </c>
      <c r="Q65" s="10" t="str">
        <f>IF(ISBLANK(VLOOKUP($B65,برا!$A$2:AO43,16,FALSE)),"",VLOOKUP($B65,برا!$A$2:AO43,16,FALSE))</f>
        <v/>
      </c>
      <c r="R65" s="199"/>
      <c r="S65" s="10" t="str">
        <f>IF(ISBLANK(VLOOKUP($B65,برا!$A$2:AQ43,17,FALSE)),"",VLOOKUP($B65,برا!$A$2:AQ43,17,FALSE))</f>
        <v/>
      </c>
      <c r="T65" s="10"/>
      <c r="U65" s="10" t="str">
        <f>IF(ISBLANK(VLOOKUP($B65,برا!$A$2:AS43,18,FALSE)),"",VLOOKUP($B65,برا!$A$2:AS43,18,FALSE))</f>
        <v/>
      </c>
      <c r="V65" s="10" t="str">
        <f>IF(ISBLANK(VLOOKUP($B65,برا!$A$2:AT43,19,FALSE)),"",VLOOKUP($B65,برا!$A$2:AT43,19,FALSE))</f>
        <v/>
      </c>
      <c r="W65" s="10" t="str">
        <f>IF(ISBLANK(VLOOKUP($B65,برا!$A$2:AU43,20,FALSE)),"",VLOOKUP($B65,برا!$A$2:AU43,20,FALSE))</f>
        <v/>
      </c>
      <c r="X65" s="10">
        <f>IF(ISBLANK(VLOOKUP($B65,برا!$A$2:AU43,21,FALSE)),0,VLOOKUP($B65,برا!$A$2:AU43,21,FALSE))</f>
        <v>0</v>
      </c>
      <c r="Y65" s="10">
        <f>IF(ISBLANK(VLOOKUP($B65,برا!$A$2:AV43,22,FALSE)),0,VLOOKUP($B65,برا!$A$2:AV43,22,FALSE))</f>
        <v>0</v>
      </c>
      <c r="Z65" s="10">
        <f>IF(ISBLANK(VLOOKUP($B65,برا!$A$2:AW43,23,FALSE)),0,VLOOKUP($B65,برا!$A$2:AW43,23,FALSE))</f>
        <v>0</v>
      </c>
      <c r="AA65" s="10">
        <f>IF(ISBLANK(VLOOKUP($B65,برا!$A$2:AX43,24,FALSE)),0,VLOOKUP($B65,برا!$A$2:AX43,24,FALSE))</f>
        <v>0</v>
      </c>
      <c r="AB65" s="10">
        <f>IF(ISBLANK(VLOOKUP($B65,برا!$A$2:AY43,25,FALSE)),0,VLOOKUP($B65,برا!$A$2:AY43,25,FALSE))</f>
        <v>0</v>
      </c>
      <c r="AC65" s="10">
        <f>IF(ISBLANK(VLOOKUP($B65,برا!$A$2:AZ43,26,FALSE)),0,VLOOKUP($B65,برا!$A$2:AZ43,26,FALSE))</f>
        <v>0</v>
      </c>
      <c r="AD65" s="10">
        <f>IF(ISBLANK(VLOOKUP($B65,برا!$A$2:BA43,27,FALSE)),0,VLOOKUP($B65,برا!$A$2:BA43,27,FALSE))</f>
        <v>0</v>
      </c>
      <c r="AE65" s="10">
        <f>IF(ISBLANK(VLOOKUP($B65,برا!$A$2:BB43,28,FALSE)),0,VLOOKUP($B65,برا!$A$2:BB43,28,FALSE))</f>
        <v>0</v>
      </c>
      <c r="AF65" s="10">
        <f>IF(ISBLANK(VLOOKUP($B65,برا!$A$2:BC43,29,FALSE)),0,VLOOKUP($B65,برا!$A$2:BC43,29,FALSE))</f>
        <v>0</v>
      </c>
      <c r="AG65" s="10">
        <f>IF(ISBLANK(VLOOKUP($B65,برا!$A$2:BD43,30,FALSE)),0,VLOOKUP($B65,برا!$A$2:BD43,30,FALSE))</f>
        <v>0</v>
      </c>
      <c r="AH65" s="10">
        <f>IF(ISBLANK(VLOOKUP($B65,برا!$A$2:BE43,31,FALSE)),0,VLOOKUP($B65,برا!$A$2:BE43,31,FALSE))</f>
        <v>0</v>
      </c>
      <c r="AI65" s="10">
        <f>IF(ISBLANK(VLOOKUP($B65,برا!$A$2:BF43,32,FALSE)),0,VLOOKUP($B65,برا!$A$2:BF43,32,FALSE))</f>
        <v>0</v>
      </c>
      <c r="AJ65" s="10">
        <f>IF(ISBLANK(VLOOKUP($B65,برا!$A$2:BG43,33,FALSE)),0,VLOOKUP($B65,برا!$A$2:BG43,33,FALSE))</f>
        <v>0</v>
      </c>
      <c r="AK65" s="10">
        <f>IF(ISBLANK(VLOOKUP($B65,برا!$A$2:BH43,34,FALSE)),0,VLOOKUP($B65,برا!$A$2:BH43,34,FALSE))</f>
        <v>0</v>
      </c>
      <c r="AL65" s="10">
        <f>IF(ISBLANK(VLOOKUP($B65,برا!$A$2:BI43,35,FALSE)),0,VLOOKUP($B65,برا!$A$2:BI43,35,FALSE))</f>
        <v>0</v>
      </c>
      <c r="AM65" s="10">
        <f>IF(ISBLANK(VLOOKUP($B65,برا!$A$2:BJ43,36,FALSE)),0,VLOOKUP($B65,برا!$A$2:BJ43,36,FALSE))</f>
        <v>0</v>
      </c>
      <c r="AN65" s="10" t="str">
        <f t="shared" si="3"/>
        <v/>
      </c>
    </row>
    <row r="66" spans="2:40" ht="106.5" customHeight="1" thickTop="1" thickBot="1">
      <c r="B66" s="10" t="str">
        <f>برا!A15</f>
        <v>تطاوين</v>
      </c>
      <c r="C66" s="10">
        <f>IF(ISBLANK(VLOOKUP($B66,برا!$A$2:AJ44,3,FALSE)),"",VLOOKUP($B66,برا!$A$2:AJ44,3,FALSE))</f>
        <v>1</v>
      </c>
      <c r="D66" s="10" t="str">
        <f>IF(ISBLANK(VLOOKUP($B66,برا!$A$2:AK44,2,FALSE)),"",VLOOKUP($B66,برا!$A$2:AK44,2,FALSE))</f>
        <v>تطاوين</v>
      </c>
      <c r="E66" s="10" t="str">
        <f>IF(ISBLANK(VLOOKUP($B66,برا!$A$2:AG44,4,FALSE)),"",VLOOKUP($B66,برا!$A$2:AG44,4,FALSE))</f>
        <v/>
      </c>
      <c r="F66" s="10" t="str">
        <f>IF(ISBLANK(VLOOKUP($B66,برا!$A$2:AG44,5,FALSE)),"",VLOOKUP($B66,برا!$A$2:AG44,5,FALSE))</f>
        <v/>
      </c>
      <c r="G66" s="10" t="str">
        <f>IF(ISBLANK(VLOOKUP($B66,برا!$A$2:AG44,6,FALSE)),"",VLOOKUP($B66,برا!$A$2:AG44,6,FALSE))</f>
        <v/>
      </c>
      <c r="H66" s="10" t="str">
        <f>IF(ISBLANK(VLOOKUP($B66,برا!$A$2:AE44,7,FALSE)),"",VLOOKUP($B66,برا!$A$2:AE44,7,FALSE))</f>
        <v/>
      </c>
      <c r="I66" s="10">
        <f>IF(ISBLANK(VLOOKUP($B66,برا!$A$2:AF44,8,FALSE)),"",VLOOKUP($B66,برا!$A$2:AF44,8,FALSE))</f>
        <v>1</v>
      </c>
      <c r="J66" s="10" t="str">
        <f>IF(ISBLANK(VLOOKUP($B66,برا!$A$2:AG44,9,FALSE)),"",VLOOKUP($B66,برا!$A$2:AG44,9,FALSE))</f>
        <v/>
      </c>
      <c r="K66" s="10" t="str">
        <f>IF(ISBLANK(VLOOKUP($B66,برا!$A$2:AJ44,10,FALSE)),"",VLOOKUP($B66,برا!$A$2:AJ44,10,FALSE))</f>
        <v/>
      </c>
      <c r="L66" s="10">
        <f>IF(ISBLANK(VLOOKUP($B66,برا!$A$2:AK44,11,FALSE)),"",VLOOKUP($B66,برا!$A$2:AK44,11,FALSE))</f>
        <v>1</v>
      </c>
      <c r="M66" s="10" t="str">
        <f>IF(ISBLANK(VLOOKUP($B66,برا!$A$2:AK44,12,FALSE)),"",VLOOKUP($B66,برا!$A$2:AK44,12,FALSE))</f>
        <v/>
      </c>
      <c r="N66" s="10" t="str">
        <f>IF(ISBLANK(VLOOKUP($B66,برا!$A$2:AL44,13,FALSE)),"",VLOOKUP($B66,برا!$A$2:AL44,13,FALSE))</f>
        <v/>
      </c>
      <c r="O66" s="10">
        <f>IF(ISBLANK(VLOOKUP($B66,برا!$A$2:AM44,14,FALSE)),"",VLOOKUP($B66,برا!$A$2:AM44,14,FALSE))</f>
        <v>1</v>
      </c>
      <c r="P66" s="10" t="str">
        <f>IF(ISBLANK(VLOOKUP($B66,برا!$A$2:AN44,15,FALSE)),"",VLOOKUP($B66,برا!$A$2:AN44,15,FALSE))</f>
        <v/>
      </c>
      <c r="Q66" s="10" t="str">
        <f>IF(ISBLANK(VLOOKUP($B66,برا!$A$2:AO44,16,FALSE)),"",VLOOKUP($B66,برا!$A$2:AO44,16,FALSE))</f>
        <v/>
      </c>
      <c r="R66" s="199"/>
      <c r="S66" s="10" t="str">
        <f>IF(ISBLANK(VLOOKUP($B66,برا!$A$2:AQ44,17,FALSE)),"",VLOOKUP($B66,برا!$A$2:AQ44,17,FALSE))</f>
        <v/>
      </c>
      <c r="T66" s="10"/>
      <c r="U66" s="10" t="str">
        <f>IF(ISBLANK(VLOOKUP($B66,برا!$A$2:AS44,18,FALSE)),"",VLOOKUP($B66,برا!$A$2:AS44,18,FALSE))</f>
        <v/>
      </c>
      <c r="V66" s="10" t="str">
        <f>IF(ISBLANK(VLOOKUP($B66,برا!$A$2:AT44,19,FALSE)),"",VLOOKUP($B66,برا!$A$2:AT44,19,FALSE))</f>
        <v/>
      </c>
      <c r="W66" s="10" t="str">
        <f>IF(ISBLANK(VLOOKUP($B66,برا!$A$2:AU44,20,FALSE)),"",VLOOKUP($B66,برا!$A$2:AU44,20,FALSE))</f>
        <v/>
      </c>
      <c r="X66" s="10">
        <f>IF(ISBLANK(VLOOKUP($B66,برا!$A$2:AU44,21,FALSE)),0,VLOOKUP($B66,برا!$A$2:AU44,21,FALSE))</f>
        <v>0</v>
      </c>
      <c r="Y66" s="10">
        <f>IF(ISBLANK(VLOOKUP($B66,برا!$A$2:AV44,22,FALSE)),0,VLOOKUP($B66,برا!$A$2:AV44,22,FALSE))</f>
        <v>0</v>
      </c>
      <c r="Z66" s="10">
        <f>IF(ISBLANK(VLOOKUP($B66,برا!$A$2:AW44,23,FALSE)),0,VLOOKUP($B66,برا!$A$2:AW44,23,FALSE))</f>
        <v>0</v>
      </c>
      <c r="AA66" s="10">
        <f>IF(ISBLANK(VLOOKUP($B66,برا!$A$2:AX44,24,FALSE)),0,VLOOKUP($B66,برا!$A$2:AX44,24,FALSE))</f>
        <v>0</v>
      </c>
      <c r="AB66" s="10">
        <f>IF(ISBLANK(VLOOKUP($B66,برا!$A$2:AY44,25,FALSE)),0,VLOOKUP($B66,برا!$A$2:AY44,25,FALSE))</f>
        <v>0</v>
      </c>
      <c r="AC66" s="10">
        <f>IF(ISBLANK(VLOOKUP($B66,برا!$A$2:AZ44,26,FALSE)),0,VLOOKUP($B66,برا!$A$2:AZ44,26,FALSE))</f>
        <v>0</v>
      </c>
      <c r="AD66" s="10">
        <f>IF(ISBLANK(VLOOKUP($B66,برا!$A$2:BA44,27,FALSE)),0,VLOOKUP($B66,برا!$A$2:BA44,27,FALSE))</f>
        <v>0</v>
      </c>
      <c r="AE66" s="10">
        <f>IF(ISBLANK(VLOOKUP($B66,برا!$A$2:BB44,28,FALSE)),0,VLOOKUP($B66,برا!$A$2:BB44,28,FALSE))</f>
        <v>0</v>
      </c>
      <c r="AF66" s="10">
        <f>IF(ISBLANK(VLOOKUP($B66,برا!$A$2:BC44,29,FALSE)),0,VLOOKUP($B66,برا!$A$2:BC44,29,FALSE))</f>
        <v>0</v>
      </c>
      <c r="AG66" s="10">
        <f>IF(ISBLANK(VLOOKUP($B66,برا!$A$2:BD44,30,FALSE)),0,VLOOKUP($B66,برا!$A$2:BD44,30,FALSE))</f>
        <v>0</v>
      </c>
      <c r="AH66" s="10">
        <f>IF(ISBLANK(VLOOKUP($B66,برا!$A$2:BE44,31,FALSE)),0,VLOOKUP($B66,برا!$A$2:BE44,31,FALSE))</f>
        <v>0</v>
      </c>
      <c r="AI66" s="10">
        <f>IF(ISBLANK(VLOOKUP($B66,برا!$A$2:BF44,32,FALSE)),0,VLOOKUP($B66,برا!$A$2:BF44,32,FALSE))</f>
        <v>0</v>
      </c>
      <c r="AJ66" s="10">
        <f>IF(ISBLANK(VLOOKUP($B66,برا!$A$2:BG44,33,FALSE)),0,VLOOKUP($B66,برا!$A$2:BG44,33,FALSE))</f>
        <v>0</v>
      </c>
      <c r="AK66" s="10">
        <f>IF(ISBLANK(VLOOKUP($B66,برا!$A$2:BH44,34,FALSE)),0,VLOOKUP($B66,برا!$A$2:BH44,34,FALSE))</f>
        <v>0</v>
      </c>
      <c r="AL66" s="10">
        <f>IF(ISBLANK(VLOOKUP($B66,برا!$A$2:BI44,35,FALSE)),0,VLOOKUP($B66,برا!$A$2:BI44,35,FALSE))</f>
        <v>0</v>
      </c>
      <c r="AM66" s="10">
        <f>IF(ISBLANK(VLOOKUP($B66,برا!$A$2:BJ44,36,FALSE)),0,VLOOKUP($B66,برا!$A$2:BJ44,36,FALSE))</f>
        <v>0</v>
      </c>
      <c r="AN66" s="10" t="str">
        <f t="shared" si="3"/>
        <v/>
      </c>
    </row>
    <row r="67" spans="2:40" ht="48" customHeight="1" thickTop="1" thickBot="1">
      <c r="B67" s="10" t="str">
        <f>برا!A16</f>
        <v>بنزرت</v>
      </c>
      <c r="C67" s="10" t="str">
        <f>IF(ISBLANK(VLOOKUP($B67,برا!$A$2:AJ45,3,FALSE)),"",VLOOKUP($B67,برا!$A$2:AJ45,3,FALSE))</f>
        <v/>
      </c>
      <c r="D67" s="10" t="str">
        <f>IF(ISBLANK(VLOOKUP($B67,برا!$A$2:AK45,2,FALSE)),"",VLOOKUP($B67,برا!$A$2:AK45,2,FALSE))</f>
        <v/>
      </c>
      <c r="E67" s="10" t="str">
        <f>IF(ISBLANK(VLOOKUP($B67,برا!$A$2:AG45,4,FALSE)),"",VLOOKUP($B67,برا!$A$2:AG45,4,FALSE))</f>
        <v/>
      </c>
      <c r="F67" s="10" t="str">
        <f>IF(ISBLANK(VLOOKUP($B67,برا!$A$2:AG45,5,FALSE)),"",VLOOKUP($B67,برا!$A$2:AG45,5,FALSE))</f>
        <v/>
      </c>
      <c r="G67" s="10" t="str">
        <f>IF(ISBLANK(VLOOKUP($B67,برا!$A$2:AG45,6,FALSE)),"",VLOOKUP($B67,برا!$A$2:AG45,6,FALSE))</f>
        <v/>
      </c>
      <c r="H67" s="10" t="str">
        <f>IF(ISBLANK(VLOOKUP($B67,برا!$A$2:AE45,7,FALSE)),"",VLOOKUP($B67,برا!$A$2:AE45,7,FALSE))</f>
        <v/>
      </c>
      <c r="I67" s="10" t="str">
        <f>IF(ISBLANK(VLOOKUP($B67,برا!$A$2:AF45,8,FALSE)),"",VLOOKUP($B67,برا!$A$2:AF45,8,FALSE))</f>
        <v/>
      </c>
      <c r="J67" s="10" t="str">
        <f>IF(ISBLANK(VLOOKUP($B67,برا!$A$2:AG45,9,FALSE)),"",VLOOKUP($B67,برا!$A$2:AG45,9,FALSE))</f>
        <v/>
      </c>
      <c r="K67" s="10" t="str">
        <f>IF(ISBLANK(VLOOKUP($B67,برا!$A$2:AJ45,10,FALSE)),"",VLOOKUP($B67,برا!$A$2:AJ45,10,FALSE))</f>
        <v/>
      </c>
      <c r="L67" s="10" t="str">
        <f>IF(ISBLANK(VLOOKUP($B67,برا!$A$2:AK45,11,FALSE)),"",VLOOKUP($B67,برا!$A$2:AK45,11,FALSE))</f>
        <v/>
      </c>
      <c r="M67" s="10" t="str">
        <f>IF(ISBLANK(VLOOKUP($B67,برا!$A$2:AK45,12,FALSE)),"",VLOOKUP($B67,برا!$A$2:AK45,12,FALSE))</f>
        <v/>
      </c>
      <c r="N67" s="10" t="str">
        <f>IF(ISBLANK(VLOOKUP($B67,برا!$A$2:AL45,13,FALSE)),"",VLOOKUP($B67,برا!$A$2:AL45,13,FALSE))</f>
        <v/>
      </c>
      <c r="O67" s="10" t="str">
        <f>IF(ISBLANK(VLOOKUP($B67,برا!$A$2:AM45,14,FALSE)),"",VLOOKUP($B67,برا!$A$2:AM45,14,FALSE))</f>
        <v/>
      </c>
      <c r="P67" s="10" t="str">
        <f>IF(ISBLANK(VLOOKUP($B67,برا!$A$2:AN45,15,FALSE)),"",VLOOKUP($B67,برا!$A$2:AN45,15,FALSE))</f>
        <v/>
      </c>
      <c r="Q67" s="10" t="str">
        <f>IF(ISBLANK(VLOOKUP($B67,برا!$A$2:AO45,16,FALSE)),"",VLOOKUP($B67,برا!$A$2:AO45,16,FALSE))</f>
        <v/>
      </c>
      <c r="R67" s="199"/>
      <c r="S67" s="10" t="str">
        <f>IF(ISBLANK(VLOOKUP($B67,برا!$A$2:AQ45,17,FALSE)),"",VLOOKUP($B67,برا!$A$2:AQ45,17,FALSE))</f>
        <v/>
      </c>
      <c r="T67" s="10"/>
      <c r="U67" s="10" t="str">
        <f>IF(ISBLANK(VLOOKUP($B67,برا!$A$2:AS45,18,FALSE)),"",VLOOKUP($B67,برا!$A$2:AS45,18,FALSE))</f>
        <v/>
      </c>
      <c r="V67" s="10" t="str">
        <f>IF(ISBLANK(VLOOKUP($B67,برا!$A$2:AT45,19,FALSE)),"",VLOOKUP($B67,برا!$A$2:AT45,19,FALSE))</f>
        <v/>
      </c>
      <c r="W67" s="10" t="str">
        <f>IF(ISBLANK(VLOOKUP($B67,برا!$A$2:AU45,20,FALSE)),"",VLOOKUP($B67,برا!$A$2:AU45,20,FALSE))</f>
        <v/>
      </c>
      <c r="X67" s="10">
        <f>IF(ISBLANK(VLOOKUP($B67,برا!$A$2:AU45,21,FALSE)),0,VLOOKUP($B67,برا!$A$2:AU45,21,FALSE))</f>
        <v>0</v>
      </c>
      <c r="Y67" s="10">
        <f>IF(ISBLANK(VLOOKUP($B67,برا!$A$2:AV45,22,FALSE)),0,VLOOKUP($B67,برا!$A$2:AV45,22,FALSE))</f>
        <v>0</v>
      </c>
      <c r="Z67" s="10">
        <f>IF(ISBLANK(VLOOKUP($B67,برا!$A$2:AW45,23,FALSE)),0,VLOOKUP($B67,برا!$A$2:AW45,23,FALSE))</f>
        <v>0</v>
      </c>
      <c r="AA67" s="10">
        <f>IF(ISBLANK(VLOOKUP($B67,برا!$A$2:AX45,24,FALSE)),0,VLOOKUP($B67,برا!$A$2:AX45,24,FALSE))</f>
        <v>0</v>
      </c>
      <c r="AB67" s="10">
        <f>IF(ISBLANK(VLOOKUP($B67,برا!$A$2:AY45,25,FALSE)),0,VLOOKUP($B67,برا!$A$2:AY45,25,FALSE))</f>
        <v>0</v>
      </c>
      <c r="AC67" s="10">
        <f>IF(ISBLANK(VLOOKUP($B67,برا!$A$2:AZ45,26,FALSE)),0,VLOOKUP($B67,برا!$A$2:AZ45,26,FALSE))</f>
        <v>0</v>
      </c>
      <c r="AD67" s="10">
        <f>IF(ISBLANK(VLOOKUP($B67,برا!$A$2:BA45,27,FALSE)),0,VLOOKUP($B67,برا!$A$2:BA45,27,FALSE))</f>
        <v>0</v>
      </c>
      <c r="AE67" s="10">
        <f>IF(ISBLANK(VLOOKUP($B67,برا!$A$2:BB45,28,FALSE)),0,VLOOKUP($B67,برا!$A$2:BB45,28,FALSE))</f>
        <v>0</v>
      </c>
      <c r="AF67" s="10">
        <f>IF(ISBLANK(VLOOKUP($B67,برا!$A$2:BC45,29,FALSE)),0,VLOOKUP($B67,برا!$A$2:BC45,29,FALSE))</f>
        <v>0</v>
      </c>
      <c r="AG67" s="10">
        <f>IF(ISBLANK(VLOOKUP($B67,برا!$A$2:BD45,30,FALSE)),0,VLOOKUP($B67,برا!$A$2:BD45,30,FALSE))</f>
        <v>0</v>
      </c>
      <c r="AH67" s="10">
        <f>IF(ISBLANK(VLOOKUP($B67,برا!$A$2:BE45,31,FALSE)),0,VLOOKUP($B67,برا!$A$2:BE45,31,FALSE))</f>
        <v>0</v>
      </c>
      <c r="AI67" s="10">
        <f>IF(ISBLANK(VLOOKUP($B67,برا!$A$2:BF45,32,FALSE)),0,VLOOKUP($B67,برا!$A$2:BF45,32,FALSE))</f>
        <v>0</v>
      </c>
      <c r="AJ67" s="10">
        <f>IF(ISBLANK(VLOOKUP($B67,برا!$A$2:BG45,33,FALSE)),0,VLOOKUP($B67,برا!$A$2:BG45,33,FALSE))</f>
        <v>0</v>
      </c>
      <c r="AK67" s="10">
        <f>IF(ISBLANK(VLOOKUP($B67,برا!$A$2:BH45,34,FALSE)),0,VLOOKUP($B67,برا!$A$2:BH45,34,FALSE))</f>
        <v>0</v>
      </c>
      <c r="AL67" s="10">
        <f>IF(ISBLANK(VLOOKUP($B67,برا!$A$2:BI45,35,FALSE)),0,VLOOKUP($B67,برا!$A$2:BI45,35,FALSE))</f>
        <v>0</v>
      </c>
      <c r="AM67" s="10">
        <f>IF(ISBLANK(VLOOKUP($B67,برا!$A$2:BJ45,36,FALSE)),0,VLOOKUP($B67,برا!$A$2:BJ45,36,FALSE))</f>
        <v>0</v>
      </c>
      <c r="AN67" s="10" t="str">
        <f t="shared" si="3"/>
        <v/>
      </c>
    </row>
    <row r="68" spans="2:40" ht="48" customHeight="1" thickTop="1" thickBot="1">
      <c r="B68" s="10" t="str">
        <f>برا!A17</f>
        <v>بن عروس</v>
      </c>
      <c r="C68" s="10" t="str">
        <f>IF(ISBLANK(VLOOKUP($B68,برا!$A$2:AJ46,3,FALSE)),"",VLOOKUP($B68,برا!$A$2:AJ46,3,FALSE))</f>
        <v/>
      </c>
      <c r="D68" s="10" t="str">
        <f>IF(ISBLANK(VLOOKUP($B68,برا!$A$2:AK46,2,FALSE)),"",VLOOKUP($B68,برا!$A$2:AK46,2,FALSE))</f>
        <v/>
      </c>
      <c r="E68" s="10" t="str">
        <f>IF(ISBLANK(VLOOKUP($B68,برا!$A$2:AG46,4,FALSE)),"",VLOOKUP($B68,برا!$A$2:AG46,4,FALSE))</f>
        <v/>
      </c>
      <c r="F68" s="10" t="str">
        <f>IF(ISBLANK(VLOOKUP($B68,برا!$A$2:AG46,5,FALSE)),"",VLOOKUP($B68,برا!$A$2:AG46,5,FALSE))</f>
        <v/>
      </c>
      <c r="G68" s="10" t="str">
        <f>IF(ISBLANK(VLOOKUP($B68,برا!$A$2:AG46,6,FALSE)),"",VLOOKUP($B68,برا!$A$2:AG46,6,FALSE))</f>
        <v/>
      </c>
      <c r="H68" s="10" t="str">
        <f>IF(ISBLANK(VLOOKUP($B68,برا!$A$2:AE46,7,FALSE)),"",VLOOKUP($B68,برا!$A$2:AE46,7,FALSE))</f>
        <v/>
      </c>
      <c r="I68" s="10" t="str">
        <f>IF(ISBLANK(VLOOKUP($B68,برا!$A$2:AF46,8,FALSE)),"",VLOOKUP($B68,برا!$A$2:AF46,8,FALSE))</f>
        <v/>
      </c>
      <c r="J68" s="10" t="str">
        <f>IF(ISBLANK(VLOOKUP($B68,برا!$A$2:AG46,9,FALSE)),"",VLOOKUP($B68,برا!$A$2:AG46,9,FALSE))</f>
        <v/>
      </c>
      <c r="K68" s="10" t="str">
        <f>IF(ISBLANK(VLOOKUP($B68,برا!$A$2:AJ46,10,FALSE)),"",VLOOKUP($B68,برا!$A$2:AJ46,10,FALSE))</f>
        <v/>
      </c>
      <c r="L68" s="10" t="str">
        <f>IF(ISBLANK(VLOOKUP($B68,برا!$A$2:AK46,11,FALSE)),"",VLOOKUP($B68,برا!$A$2:AK46,11,FALSE))</f>
        <v/>
      </c>
      <c r="M68" s="10" t="str">
        <f>IF(ISBLANK(VLOOKUP($B68,برا!$A$2:AK46,12,FALSE)),"",VLOOKUP($B68,برا!$A$2:AK46,12,FALSE))</f>
        <v/>
      </c>
      <c r="N68" s="10" t="str">
        <f>IF(ISBLANK(VLOOKUP($B68,برا!$A$2:AL46,13,FALSE)),"",VLOOKUP($B68,برا!$A$2:AL46,13,FALSE))</f>
        <v/>
      </c>
      <c r="O68" s="10" t="str">
        <f>IF(ISBLANK(VLOOKUP($B68,برا!$A$2:AM46,14,FALSE)),"",VLOOKUP($B68,برا!$A$2:AM46,14,FALSE))</f>
        <v/>
      </c>
      <c r="P68" s="10" t="str">
        <f>IF(ISBLANK(VLOOKUP($B68,برا!$A$2:AN46,15,FALSE)),"",VLOOKUP($B68,برا!$A$2:AN46,15,FALSE))</f>
        <v/>
      </c>
      <c r="Q68" s="10" t="str">
        <f>IF(ISBLANK(VLOOKUP($B68,برا!$A$2:AO46,16,FALSE)),"",VLOOKUP($B68,برا!$A$2:AO46,16,FALSE))</f>
        <v/>
      </c>
      <c r="R68" s="199"/>
      <c r="S68" s="10" t="str">
        <f>IF(ISBLANK(VLOOKUP($B68,برا!$A$2:AQ46,17,FALSE)),"",VLOOKUP($B68,برا!$A$2:AQ46,17,FALSE))</f>
        <v/>
      </c>
      <c r="T68" s="10"/>
      <c r="U68" s="10" t="str">
        <f>IF(ISBLANK(VLOOKUP($B68,برا!$A$2:AS46,18,FALSE)),"",VLOOKUP($B68,برا!$A$2:AS46,18,FALSE))</f>
        <v/>
      </c>
      <c r="V68" s="10" t="str">
        <f>IF(ISBLANK(VLOOKUP($B68,برا!$A$2:AT46,19,FALSE)),"",VLOOKUP($B68,برا!$A$2:AT46,19,FALSE))</f>
        <v/>
      </c>
      <c r="W68" s="10" t="str">
        <f>IF(ISBLANK(VLOOKUP($B68,برا!$A$2:AU46,20,FALSE)),"",VLOOKUP($B68,برا!$A$2:AU46,20,FALSE))</f>
        <v/>
      </c>
      <c r="X68" s="10">
        <f>IF(ISBLANK(VLOOKUP($B68,برا!$A$2:AU46,21,FALSE)),0,VLOOKUP($B68,برا!$A$2:AU46,21,FALSE))</f>
        <v>0</v>
      </c>
      <c r="Y68" s="10">
        <f>IF(ISBLANK(VLOOKUP($B68,برا!$A$2:AV46,22,FALSE)),0,VLOOKUP($B68,برا!$A$2:AV46,22,FALSE))</f>
        <v>0</v>
      </c>
      <c r="Z68" s="10">
        <f>IF(ISBLANK(VLOOKUP($B68,برا!$A$2:AW46,23,FALSE)),0,VLOOKUP($B68,برا!$A$2:AW46,23,FALSE))</f>
        <v>0</v>
      </c>
      <c r="AA68" s="10">
        <f>IF(ISBLANK(VLOOKUP($B68,برا!$A$2:AX46,24,FALSE)),0,VLOOKUP($B68,برا!$A$2:AX46,24,FALSE))</f>
        <v>0</v>
      </c>
      <c r="AB68" s="10">
        <f>IF(ISBLANK(VLOOKUP($B68,برا!$A$2:AY46,25,FALSE)),0,VLOOKUP($B68,برا!$A$2:AY46,25,FALSE))</f>
        <v>0</v>
      </c>
      <c r="AC68" s="10">
        <f>IF(ISBLANK(VLOOKUP($B68,برا!$A$2:AZ46,26,FALSE)),0,VLOOKUP($B68,برا!$A$2:AZ46,26,FALSE))</f>
        <v>0</v>
      </c>
      <c r="AD68" s="10">
        <f>IF(ISBLANK(VLOOKUP($B68,برا!$A$2:BA46,27,FALSE)),0,VLOOKUP($B68,برا!$A$2:BA46,27,FALSE))</f>
        <v>0</v>
      </c>
      <c r="AE68" s="10">
        <f>IF(ISBLANK(VLOOKUP($B68,برا!$A$2:BB46,28,FALSE)),0,VLOOKUP($B68,برا!$A$2:BB46,28,FALSE))</f>
        <v>0</v>
      </c>
      <c r="AF68" s="10">
        <f>IF(ISBLANK(VLOOKUP($B68,برا!$A$2:BC46,29,FALSE)),0,VLOOKUP($B68,برا!$A$2:BC46,29,FALSE))</f>
        <v>0</v>
      </c>
      <c r="AG68" s="10">
        <f>IF(ISBLANK(VLOOKUP($B68,برا!$A$2:BD46,30,FALSE)),0,VLOOKUP($B68,برا!$A$2:BD46,30,FALSE))</f>
        <v>0</v>
      </c>
      <c r="AH68" s="10">
        <f>IF(ISBLANK(VLOOKUP($B68,برا!$A$2:BE46,31,FALSE)),0,VLOOKUP($B68,برا!$A$2:BE46,31,FALSE))</f>
        <v>0</v>
      </c>
      <c r="AI68" s="10">
        <f>IF(ISBLANK(VLOOKUP($B68,برا!$A$2:BF46,32,FALSE)),0,VLOOKUP($B68,برا!$A$2:BF46,32,FALSE))</f>
        <v>0</v>
      </c>
      <c r="AJ68" s="10">
        <f>IF(ISBLANK(VLOOKUP($B68,برا!$A$2:BG46,33,FALSE)),0,VLOOKUP($B68,برا!$A$2:BG46,33,FALSE))</f>
        <v>0</v>
      </c>
      <c r="AK68" s="10">
        <f>IF(ISBLANK(VLOOKUP($B68,برا!$A$2:BH46,34,FALSE)),0,VLOOKUP($B68,برا!$A$2:BH46,34,FALSE))</f>
        <v>0</v>
      </c>
      <c r="AL68" s="10">
        <f>IF(ISBLANK(VLOOKUP($B68,برا!$A$2:BI46,35,FALSE)),0,VLOOKUP($B68,برا!$A$2:BI46,35,FALSE))</f>
        <v>0</v>
      </c>
      <c r="AM68" s="10">
        <f>IF(ISBLANK(VLOOKUP($B68,برا!$A$2:BJ46,36,FALSE)),0,VLOOKUP($B68,برا!$A$2:BJ46,36,FALSE))</f>
        <v>0</v>
      </c>
      <c r="AN68" s="10" t="str">
        <f t="shared" si="3"/>
        <v/>
      </c>
    </row>
    <row r="69" spans="2:40" ht="48" customHeight="1" thickTop="1" thickBot="1">
      <c r="B69" s="10" t="str">
        <f>برا!A18</f>
        <v>باجة</v>
      </c>
      <c r="C69" s="10" t="str">
        <f>IF(ISBLANK(VLOOKUP($B69,برا!$A$2:AJ47,3,FALSE)),"",VLOOKUP($B69,برا!$A$2:AJ47,3,FALSE))</f>
        <v/>
      </c>
      <c r="D69" s="10" t="str">
        <f>IF(ISBLANK(VLOOKUP($B69,برا!$A$2:AK47,2,FALSE)),"",VLOOKUP($B69,برا!$A$2:AK47,2,FALSE))</f>
        <v/>
      </c>
      <c r="E69" s="10" t="str">
        <f>IF(ISBLANK(VLOOKUP($B69,برا!$A$2:AG47,4,FALSE)),"",VLOOKUP($B69,برا!$A$2:AG47,4,FALSE))</f>
        <v/>
      </c>
      <c r="F69" s="10" t="str">
        <f>IF(ISBLANK(VLOOKUP($B69,برا!$A$2:AG47,5,FALSE)),"",VLOOKUP($B69,برا!$A$2:AG47,5,FALSE))</f>
        <v/>
      </c>
      <c r="G69" s="10" t="str">
        <f>IF(ISBLANK(VLOOKUP($B69,برا!$A$2:AG47,6,FALSE)),"",VLOOKUP($B69,برا!$A$2:AG47,6,FALSE))</f>
        <v/>
      </c>
      <c r="H69" s="10" t="str">
        <f>IF(ISBLANK(VLOOKUP($B69,برا!$A$2:AE47,7,FALSE)),"",VLOOKUP($B69,برا!$A$2:AE47,7,FALSE))</f>
        <v/>
      </c>
      <c r="I69" s="10" t="str">
        <f>IF(ISBLANK(VLOOKUP($B69,برا!$A$2:AF47,8,FALSE)),"",VLOOKUP($B69,برا!$A$2:AF47,8,FALSE))</f>
        <v/>
      </c>
      <c r="J69" s="10" t="str">
        <f>IF(ISBLANK(VLOOKUP($B69,برا!$A$2:AG47,9,FALSE)),"",VLOOKUP($B69,برا!$A$2:AG47,9,FALSE))</f>
        <v/>
      </c>
      <c r="K69" s="10" t="str">
        <f>IF(ISBLANK(VLOOKUP($B69,برا!$A$2:AJ47,10,FALSE)),"",VLOOKUP($B69,برا!$A$2:AJ47,10,FALSE))</f>
        <v/>
      </c>
      <c r="L69" s="10" t="str">
        <f>IF(ISBLANK(VLOOKUP($B69,برا!$A$2:AK47,11,FALSE)),"",VLOOKUP($B69,برا!$A$2:AK47,11,FALSE))</f>
        <v/>
      </c>
      <c r="M69" s="10" t="str">
        <f>IF(ISBLANK(VLOOKUP($B69,برا!$A$2:AK47,12,FALSE)),"",VLOOKUP($B69,برا!$A$2:AK47,12,FALSE))</f>
        <v/>
      </c>
      <c r="N69" s="10" t="str">
        <f>IF(ISBLANK(VLOOKUP($B69,برا!$A$2:AL47,13,FALSE)),"",VLOOKUP($B69,برا!$A$2:AL47,13,FALSE))</f>
        <v/>
      </c>
      <c r="O69" s="10" t="str">
        <f>IF(ISBLANK(VLOOKUP($B69,برا!$A$2:AM47,14,FALSE)),"",VLOOKUP($B69,برا!$A$2:AM47,14,FALSE))</f>
        <v/>
      </c>
      <c r="P69" s="10" t="str">
        <f>IF(ISBLANK(VLOOKUP($B69,برا!$A$2:AN47,15,FALSE)),"",VLOOKUP($B69,برا!$A$2:AN47,15,FALSE))</f>
        <v/>
      </c>
      <c r="Q69" s="10" t="str">
        <f>IF(ISBLANK(VLOOKUP($B69,برا!$A$2:AO47,16,FALSE)),"",VLOOKUP($B69,برا!$A$2:AO47,16,FALSE))</f>
        <v/>
      </c>
      <c r="R69" s="199"/>
      <c r="S69" s="10" t="str">
        <f>IF(ISBLANK(VLOOKUP($B69,برا!$A$2:AQ47,17,FALSE)),"",VLOOKUP($B69,برا!$A$2:AQ47,17,FALSE))</f>
        <v/>
      </c>
      <c r="T69" s="10"/>
      <c r="U69" s="10" t="str">
        <f>IF(ISBLANK(VLOOKUP($B69,برا!$A$2:AS47,18,FALSE)),"",VLOOKUP($B69,برا!$A$2:AS47,18,FALSE))</f>
        <v/>
      </c>
      <c r="V69" s="10" t="str">
        <f>IF(ISBLANK(VLOOKUP($B69,برا!$A$2:AT47,19,FALSE)),"",VLOOKUP($B69,برا!$A$2:AT47,19,FALSE))</f>
        <v/>
      </c>
      <c r="W69" s="10" t="str">
        <f>IF(ISBLANK(VLOOKUP($B69,برا!$A$2:AU47,20,FALSE)),"",VLOOKUP($B69,برا!$A$2:AU47,20,FALSE))</f>
        <v/>
      </c>
      <c r="X69" s="10">
        <f>IF(ISBLANK(VLOOKUP($B69,برا!$A$2:AU47,21,FALSE)),0,VLOOKUP($B69,برا!$A$2:AU47,21,FALSE))</f>
        <v>0</v>
      </c>
      <c r="Y69" s="10">
        <f>IF(ISBLANK(VLOOKUP($B69,برا!$A$2:AV47,22,FALSE)),0,VLOOKUP($B69,برا!$A$2:AV47,22,FALSE))</f>
        <v>0</v>
      </c>
      <c r="Z69" s="10">
        <f>IF(ISBLANK(VLOOKUP($B69,برا!$A$2:AW47,23,FALSE)),0,VLOOKUP($B69,برا!$A$2:AW47,23,FALSE))</f>
        <v>0</v>
      </c>
      <c r="AA69" s="10">
        <f>IF(ISBLANK(VLOOKUP($B69,برا!$A$2:AX47,24,FALSE)),0,VLOOKUP($B69,برا!$A$2:AX47,24,FALSE))</f>
        <v>0</v>
      </c>
      <c r="AB69" s="10">
        <f>IF(ISBLANK(VLOOKUP($B69,برا!$A$2:AY47,25,FALSE)),0,VLOOKUP($B69,برا!$A$2:AY47,25,FALSE))</f>
        <v>0</v>
      </c>
      <c r="AC69" s="10">
        <f>IF(ISBLANK(VLOOKUP($B69,برا!$A$2:AZ47,26,FALSE)),0,VLOOKUP($B69,برا!$A$2:AZ47,26,FALSE))</f>
        <v>0</v>
      </c>
      <c r="AD69" s="10">
        <f>IF(ISBLANK(VLOOKUP($B69,برا!$A$2:BA47,27,FALSE)),0,VLOOKUP($B69,برا!$A$2:BA47,27,FALSE))</f>
        <v>0</v>
      </c>
      <c r="AE69" s="10">
        <f>IF(ISBLANK(VLOOKUP($B69,برا!$A$2:BB47,28,FALSE)),0,VLOOKUP($B69,برا!$A$2:BB47,28,FALSE))</f>
        <v>0</v>
      </c>
      <c r="AF69" s="10">
        <f>IF(ISBLANK(VLOOKUP($B69,برا!$A$2:BC47,29,FALSE)),0,VLOOKUP($B69,برا!$A$2:BC47,29,FALSE))</f>
        <v>0</v>
      </c>
      <c r="AG69" s="10">
        <f>IF(ISBLANK(VLOOKUP($B69,برا!$A$2:BD47,30,FALSE)),0,VLOOKUP($B69,برا!$A$2:BD47,30,FALSE))</f>
        <v>0</v>
      </c>
      <c r="AH69" s="10">
        <f>IF(ISBLANK(VLOOKUP($B69,برا!$A$2:BE47,31,FALSE)),0,VLOOKUP($B69,برا!$A$2:BE47,31,FALSE))</f>
        <v>0</v>
      </c>
      <c r="AI69" s="10">
        <f>IF(ISBLANK(VLOOKUP($B69,برا!$A$2:BF47,32,FALSE)),0,VLOOKUP($B69,برا!$A$2:BF47,32,FALSE))</f>
        <v>0</v>
      </c>
      <c r="AJ69" s="10">
        <f>IF(ISBLANK(VLOOKUP($B69,برا!$A$2:BG47,33,FALSE)),0,VLOOKUP($B69,برا!$A$2:BG47,33,FALSE))</f>
        <v>0</v>
      </c>
      <c r="AK69" s="10">
        <f>IF(ISBLANK(VLOOKUP($B69,برا!$A$2:BH47,34,FALSE)),0,VLOOKUP($B69,برا!$A$2:BH47,34,FALSE))</f>
        <v>0</v>
      </c>
      <c r="AL69" s="10">
        <f>IF(ISBLANK(VLOOKUP($B69,برا!$A$2:BI47,35,FALSE)),0,VLOOKUP($B69,برا!$A$2:BI47,35,FALSE))</f>
        <v>0</v>
      </c>
      <c r="AM69" s="10">
        <f>IF(ISBLANK(VLOOKUP($B69,برا!$A$2:BJ47,36,FALSE)),0,VLOOKUP($B69,برا!$A$2:BJ47,36,FALSE))</f>
        <v>0</v>
      </c>
      <c r="AN69" s="10" t="str">
        <f t="shared" si="3"/>
        <v/>
      </c>
    </row>
    <row r="70" spans="2:40" ht="48" customHeight="1" thickTop="1" thickBot="1">
      <c r="B70" s="10" t="str">
        <f>برا!A19</f>
        <v>المهدية</v>
      </c>
      <c r="C70" s="10" t="str">
        <f>IF(ISBLANK(VLOOKUP($B70,برا!$A$2:AJ48,3,FALSE)),"",VLOOKUP($B70,برا!$A$2:AJ48,3,FALSE))</f>
        <v/>
      </c>
      <c r="D70" s="10" t="str">
        <f>IF(ISBLANK(VLOOKUP($B70,برا!$A$2:AK48,2,FALSE)),"",VLOOKUP($B70,برا!$A$2:AK48,2,FALSE))</f>
        <v/>
      </c>
      <c r="E70" s="10" t="str">
        <f>IF(ISBLANK(VLOOKUP($B70,برا!$A$2:AG48,4,FALSE)),"",VLOOKUP($B70,برا!$A$2:AG48,4,FALSE))</f>
        <v/>
      </c>
      <c r="F70" s="10" t="str">
        <f>IF(ISBLANK(VLOOKUP($B70,برا!$A$2:AG48,5,FALSE)),"",VLOOKUP($B70,برا!$A$2:AG48,5,FALSE))</f>
        <v/>
      </c>
      <c r="G70" s="10" t="str">
        <f>IF(ISBLANK(VLOOKUP($B70,برا!$A$2:AG48,6,FALSE)),"",VLOOKUP($B70,برا!$A$2:AG48,6,FALSE))</f>
        <v/>
      </c>
      <c r="H70" s="10" t="str">
        <f>IF(ISBLANK(VLOOKUP($B70,برا!$A$2:AE48,7,FALSE)),"",VLOOKUP($B70,برا!$A$2:AE48,7,FALSE))</f>
        <v/>
      </c>
      <c r="I70" s="10" t="str">
        <f>IF(ISBLANK(VLOOKUP($B70,برا!$A$2:AF48,8,FALSE)),"",VLOOKUP($B70,برا!$A$2:AF48,8,FALSE))</f>
        <v/>
      </c>
      <c r="J70" s="10" t="str">
        <f>IF(ISBLANK(VLOOKUP($B70,برا!$A$2:AG48,9,FALSE)),"",VLOOKUP($B70,برا!$A$2:AG48,9,FALSE))</f>
        <v/>
      </c>
      <c r="K70" s="10" t="str">
        <f>IF(ISBLANK(VLOOKUP($B70,برا!$A$2:AJ48,10,FALSE)),"",VLOOKUP($B70,برا!$A$2:AJ48,10,FALSE))</f>
        <v/>
      </c>
      <c r="L70" s="10" t="str">
        <f>IF(ISBLANK(VLOOKUP($B70,برا!$A$2:AK48,11,FALSE)),"",VLOOKUP($B70,برا!$A$2:AK48,11,FALSE))</f>
        <v/>
      </c>
      <c r="M70" s="10" t="str">
        <f>IF(ISBLANK(VLOOKUP($B70,برا!$A$2:AK48,12,FALSE)),"",VLOOKUP($B70,برا!$A$2:AK48,12,FALSE))</f>
        <v/>
      </c>
      <c r="N70" s="10" t="str">
        <f>IF(ISBLANK(VLOOKUP($B70,برا!$A$2:AL48,13,FALSE)),"",VLOOKUP($B70,برا!$A$2:AL48,13,FALSE))</f>
        <v/>
      </c>
      <c r="O70" s="10" t="str">
        <f>IF(ISBLANK(VLOOKUP($B70,برا!$A$2:AM48,14,FALSE)),"",VLOOKUP($B70,برا!$A$2:AM48,14,FALSE))</f>
        <v/>
      </c>
      <c r="P70" s="10" t="str">
        <f>IF(ISBLANK(VLOOKUP($B70,برا!$A$2:AN48,15,FALSE)),"",VLOOKUP($B70,برا!$A$2:AN48,15,FALSE))</f>
        <v/>
      </c>
      <c r="Q70" s="10" t="str">
        <f>IF(ISBLANK(VLOOKUP($B70,برا!$A$2:AO48,16,FALSE)),"",VLOOKUP($B70,برا!$A$2:AO48,16,FALSE))</f>
        <v/>
      </c>
      <c r="R70" s="199"/>
      <c r="S70" s="10" t="str">
        <f>IF(ISBLANK(VLOOKUP($B70,برا!$A$2:AQ48,17,FALSE)),"",VLOOKUP($B70,برا!$A$2:AQ48,17,FALSE))</f>
        <v/>
      </c>
      <c r="T70" s="10"/>
      <c r="U70" s="10" t="str">
        <f>IF(ISBLANK(VLOOKUP($B70,برا!$A$2:AS48,18,FALSE)),"",VLOOKUP($B70,برا!$A$2:AS48,18,FALSE))</f>
        <v/>
      </c>
      <c r="V70" s="10" t="str">
        <f>IF(ISBLANK(VLOOKUP($B70,برا!$A$2:AT48,19,FALSE)),"",VLOOKUP($B70,برا!$A$2:AT48,19,FALSE))</f>
        <v/>
      </c>
      <c r="W70" s="10" t="str">
        <f>IF(ISBLANK(VLOOKUP($B70,برا!$A$2:AU48,20,FALSE)),"",VLOOKUP($B70,برا!$A$2:AU48,20,FALSE))</f>
        <v/>
      </c>
      <c r="X70" s="10">
        <f>IF(ISBLANK(VLOOKUP($B70,برا!$A$2:AU48,21,FALSE)),0,VLOOKUP($B70,برا!$A$2:AU48,21,FALSE))</f>
        <v>0</v>
      </c>
      <c r="Y70" s="10">
        <f>IF(ISBLANK(VLOOKUP($B70,برا!$A$2:AV48,22,FALSE)),0,VLOOKUP($B70,برا!$A$2:AV48,22,FALSE))</f>
        <v>0</v>
      </c>
      <c r="Z70" s="10">
        <f>IF(ISBLANK(VLOOKUP($B70,برا!$A$2:AW48,23,FALSE)),0,VLOOKUP($B70,برا!$A$2:AW48,23,FALSE))</f>
        <v>0</v>
      </c>
      <c r="AA70" s="10">
        <f>IF(ISBLANK(VLOOKUP($B70,برا!$A$2:AX48,24,FALSE)),0,VLOOKUP($B70,برا!$A$2:AX48,24,FALSE))</f>
        <v>0</v>
      </c>
      <c r="AB70" s="10">
        <f>IF(ISBLANK(VLOOKUP($B70,برا!$A$2:AY48,25,FALSE)),0,VLOOKUP($B70,برا!$A$2:AY48,25,FALSE))</f>
        <v>0</v>
      </c>
      <c r="AC70" s="10">
        <f>IF(ISBLANK(VLOOKUP($B70,برا!$A$2:AZ48,26,FALSE)),0,VLOOKUP($B70,برا!$A$2:AZ48,26,FALSE))</f>
        <v>0</v>
      </c>
      <c r="AD70" s="10">
        <f>IF(ISBLANK(VLOOKUP($B70,برا!$A$2:BA48,27,FALSE)),0,VLOOKUP($B70,برا!$A$2:BA48,27,FALSE))</f>
        <v>0</v>
      </c>
      <c r="AE70" s="10">
        <f>IF(ISBLANK(VLOOKUP($B70,برا!$A$2:BB48,28,FALSE)),0,VLOOKUP($B70,برا!$A$2:BB48,28,FALSE))</f>
        <v>0</v>
      </c>
      <c r="AF70" s="10">
        <f>IF(ISBLANK(VLOOKUP($B70,برا!$A$2:BC48,29,FALSE)),0,VLOOKUP($B70,برا!$A$2:BC48,29,FALSE))</f>
        <v>0</v>
      </c>
      <c r="AG70" s="10">
        <f>IF(ISBLANK(VLOOKUP($B70,برا!$A$2:BD48,30,FALSE)),0,VLOOKUP($B70,برا!$A$2:BD48,30,FALSE))</f>
        <v>0</v>
      </c>
      <c r="AH70" s="10">
        <f>IF(ISBLANK(VLOOKUP($B70,برا!$A$2:BE48,31,FALSE)),0,VLOOKUP($B70,برا!$A$2:BE48,31,FALSE))</f>
        <v>0</v>
      </c>
      <c r="AI70" s="10">
        <f>IF(ISBLANK(VLOOKUP($B70,برا!$A$2:BF48,32,FALSE)),0,VLOOKUP($B70,برا!$A$2:BF48,32,FALSE))</f>
        <v>0</v>
      </c>
      <c r="AJ70" s="10">
        <f>IF(ISBLANK(VLOOKUP($B70,برا!$A$2:BG48,33,FALSE)),0,VLOOKUP($B70,برا!$A$2:BG48,33,FALSE))</f>
        <v>0</v>
      </c>
      <c r="AK70" s="10">
        <f>IF(ISBLANK(VLOOKUP($B70,برا!$A$2:BH48,34,FALSE)),0,VLOOKUP($B70,برا!$A$2:BH48,34,FALSE))</f>
        <v>0</v>
      </c>
      <c r="AL70" s="10">
        <f>IF(ISBLANK(VLOOKUP($B70,برا!$A$2:BI48,35,FALSE)),0,VLOOKUP($B70,برا!$A$2:BI48,35,FALSE))</f>
        <v>0</v>
      </c>
      <c r="AM70" s="10">
        <f>IF(ISBLANK(VLOOKUP($B70,برا!$A$2:BJ48,36,FALSE)),0,VLOOKUP($B70,برا!$A$2:BJ48,36,FALSE))</f>
        <v>0</v>
      </c>
      <c r="AN70" s="10" t="str">
        <f t="shared" si="3"/>
        <v/>
      </c>
    </row>
    <row r="71" spans="2:40" ht="48" customHeight="1" thickTop="1" thickBot="1">
      <c r="B71" s="10" t="str">
        <f>برا!A20</f>
        <v>المنستير</v>
      </c>
      <c r="C71" s="10" t="str">
        <f>IF(ISBLANK(VLOOKUP($B71,برا!$A$2:AJ49,3,FALSE)),"",VLOOKUP($B71,برا!$A$2:AJ49,3,FALSE))</f>
        <v/>
      </c>
      <c r="D71" s="10" t="str">
        <f>IF(ISBLANK(VLOOKUP($B71,برا!$A$2:AK49,2,FALSE)),"",VLOOKUP($B71,برا!$A$2:AK49,2,FALSE))</f>
        <v/>
      </c>
      <c r="E71" s="10" t="str">
        <f>IF(ISBLANK(VLOOKUP($B71,برا!$A$2:AG49,4,FALSE)),"",VLOOKUP($B71,برا!$A$2:AG49,4,FALSE))</f>
        <v/>
      </c>
      <c r="F71" s="10" t="str">
        <f>IF(ISBLANK(VLOOKUP($B71,برا!$A$2:AG49,5,FALSE)),"",VLOOKUP($B71,برا!$A$2:AG49,5,FALSE))</f>
        <v/>
      </c>
      <c r="G71" s="10" t="str">
        <f>IF(ISBLANK(VLOOKUP($B71,برا!$A$2:AG49,6,FALSE)),"",VLOOKUP($B71,برا!$A$2:AG49,6,FALSE))</f>
        <v/>
      </c>
      <c r="H71" s="10" t="str">
        <f>IF(ISBLANK(VLOOKUP($B71,برا!$A$2:AE49,7,FALSE)),"",VLOOKUP($B71,برا!$A$2:AE49,7,FALSE))</f>
        <v/>
      </c>
      <c r="I71" s="10" t="str">
        <f>IF(ISBLANK(VLOOKUP($B71,برا!$A$2:AF49,8,FALSE)),"",VLOOKUP($B71,برا!$A$2:AF49,8,FALSE))</f>
        <v/>
      </c>
      <c r="J71" s="10" t="str">
        <f>IF(ISBLANK(VLOOKUP($B71,برا!$A$2:AG49,9,FALSE)),"",VLOOKUP($B71,برا!$A$2:AG49,9,FALSE))</f>
        <v/>
      </c>
      <c r="K71" s="10" t="str">
        <f>IF(ISBLANK(VLOOKUP($B71,برا!$A$2:AJ49,10,FALSE)),"",VLOOKUP($B71,برا!$A$2:AJ49,10,FALSE))</f>
        <v/>
      </c>
      <c r="L71" s="10" t="str">
        <f>IF(ISBLANK(VLOOKUP($B71,برا!$A$2:AK49,11,FALSE)),"",VLOOKUP($B71,برا!$A$2:AK49,11,FALSE))</f>
        <v/>
      </c>
      <c r="M71" s="10" t="str">
        <f>IF(ISBLANK(VLOOKUP($B71,برا!$A$2:AK49,12,FALSE)),"",VLOOKUP($B71,برا!$A$2:AK49,12,FALSE))</f>
        <v/>
      </c>
      <c r="N71" s="10" t="str">
        <f>IF(ISBLANK(VLOOKUP($B71,برا!$A$2:AL49,13,FALSE)),"",VLOOKUP($B71,برا!$A$2:AL49,13,FALSE))</f>
        <v/>
      </c>
      <c r="O71" s="10" t="str">
        <f>IF(ISBLANK(VLOOKUP($B71,برا!$A$2:AM49,14,FALSE)),"",VLOOKUP($B71,برا!$A$2:AM49,14,FALSE))</f>
        <v/>
      </c>
      <c r="P71" s="10" t="str">
        <f>IF(ISBLANK(VLOOKUP($B71,برا!$A$2:AN49,15,FALSE)),"",VLOOKUP($B71,برا!$A$2:AN49,15,FALSE))</f>
        <v/>
      </c>
      <c r="Q71" s="10" t="str">
        <f>IF(ISBLANK(VLOOKUP($B71,برا!$A$2:AO49,16,FALSE)),"",VLOOKUP($B71,برا!$A$2:AO49,16,FALSE))</f>
        <v/>
      </c>
      <c r="R71" s="199"/>
      <c r="S71" s="10" t="str">
        <f>IF(ISBLANK(VLOOKUP($B71,برا!$A$2:AQ49,17,FALSE)),"",VLOOKUP($B71,برا!$A$2:AQ49,17,FALSE))</f>
        <v/>
      </c>
      <c r="T71" s="10"/>
      <c r="U71" s="10" t="str">
        <f>IF(ISBLANK(VLOOKUP($B71,برا!$A$2:AS49,18,FALSE)),"",VLOOKUP($B71,برا!$A$2:AS49,18,FALSE))</f>
        <v/>
      </c>
      <c r="V71" s="10" t="str">
        <f>IF(ISBLANK(VLOOKUP($B71,برا!$A$2:AT49,19,FALSE)),"",VLOOKUP($B71,برا!$A$2:AT49,19,FALSE))</f>
        <v/>
      </c>
      <c r="W71" s="10" t="str">
        <f>IF(ISBLANK(VLOOKUP($B71,برا!$A$2:AU49,20,FALSE)),"",VLOOKUP($B71,برا!$A$2:AU49,20,FALSE))</f>
        <v/>
      </c>
      <c r="X71" s="10">
        <f>IF(ISBLANK(VLOOKUP($B71,برا!$A$2:AU49,21,FALSE)),0,VLOOKUP($B71,برا!$A$2:AU49,21,FALSE))</f>
        <v>0</v>
      </c>
      <c r="Y71" s="10">
        <f>IF(ISBLANK(VLOOKUP($B71,برا!$A$2:AV49,22,FALSE)),0,VLOOKUP($B71,برا!$A$2:AV49,22,FALSE))</f>
        <v>0</v>
      </c>
      <c r="Z71" s="10">
        <f>IF(ISBLANK(VLOOKUP($B71,برا!$A$2:AW49,23,FALSE)),0,VLOOKUP($B71,برا!$A$2:AW49,23,FALSE))</f>
        <v>0</v>
      </c>
      <c r="AA71" s="10">
        <f>IF(ISBLANK(VLOOKUP($B71,برا!$A$2:AX49,24,FALSE)),0,VLOOKUP($B71,برا!$A$2:AX49,24,FALSE))</f>
        <v>0</v>
      </c>
      <c r="AB71" s="10">
        <f>IF(ISBLANK(VLOOKUP($B71,برا!$A$2:AY49,25,FALSE)),0,VLOOKUP($B71,برا!$A$2:AY49,25,FALSE))</f>
        <v>0</v>
      </c>
      <c r="AC71" s="10">
        <f>IF(ISBLANK(VLOOKUP($B71,برا!$A$2:AZ49,26,FALSE)),0,VLOOKUP($B71,برا!$A$2:AZ49,26,FALSE))</f>
        <v>0</v>
      </c>
      <c r="AD71" s="10">
        <f>IF(ISBLANK(VLOOKUP($B71,برا!$A$2:BA49,27,FALSE)),0,VLOOKUP($B71,برا!$A$2:BA49,27,FALSE))</f>
        <v>0</v>
      </c>
      <c r="AE71" s="10">
        <f>IF(ISBLANK(VLOOKUP($B71,برا!$A$2:BB49,28,FALSE)),0,VLOOKUP($B71,برا!$A$2:BB49,28,FALSE))</f>
        <v>0</v>
      </c>
      <c r="AF71" s="10">
        <f>IF(ISBLANK(VLOOKUP($B71,برا!$A$2:BC49,29,FALSE)),0,VLOOKUP($B71,برا!$A$2:BC49,29,FALSE))</f>
        <v>0</v>
      </c>
      <c r="AG71" s="10">
        <f>IF(ISBLANK(VLOOKUP($B71,برا!$A$2:BD49,30,FALSE)),0,VLOOKUP($B71,برا!$A$2:BD49,30,FALSE))</f>
        <v>0</v>
      </c>
      <c r="AH71" s="10">
        <f>IF(ISBLANK(VLOOKUP($B71,برا!$A$2:BE49,31,FALSE)),0,VLOOKUP($B71,برا!$A$2:BE49,31,FALSE))</f>
        <v>0</v>
      </c>
      <c r="AI71" s="10">
        <f>IF(ISBLANK(VLOOKUP($B71,برا!$A$2:BF49,32,FALSE)),0,VLOOKUP($B71,برا!$A$2:BF49,32,FALSE))</f>
        <v>0</v>
      </c>
      <c r="AJ71" s="10">
        <f>IF(ISBLANK(VLOOKUP($B71,برا!$A$2:BG49,33,FALSE)),0,VLOOKUP($B71,برا!$A$2:BG49,33,FALSE))</f>
        <v>0</v>
      </c>
      <c r="AK71" s="10">
        <f>IF(ISBLANK(VLOOKUP($B71,برا!$A$2:BH49,34,FALSE)),0,VLOOKUP($B71,برا!$A$2:BH49,34,FALSE))</f>
        <v>0</v>
      </c>
      <c r="AL71" s="10">
        <f>IF(ISBLANK(VLOOKUP($B71,برا!$A$2:BI49,35,FALSE)),0,VLOOKUP($B71,برا!$A$2:BI49,35,FALSE))</f>
        <v>0</v>
      </c>
      <c r="AM71" s="10">
        <f>IF(ISBLANK(VLOOKUP($B71,برا!$A$2:BJ49,36,FALSE)),0,VLOOKUP($B71,برا!$A$2:BJ49,36,FALSE))</f>
        <v>0</v>
      </c>
      <c r="AN71" s="10" t="str">
        <f t="shared" si="3"/>
        <v/>
      </c>
    </row>
    <row r="72" spans="2:40" ht="59.25" customHeight="1" thickTop="1" thickBot="1">
      <c r="B72" s="10" t="str">
        <f>برا!A21</f>
        <v>الكاف</v>
      </c>
      <c r="C72" s="10">
        <f>IF(ISBLANK(VLOOKUP($B72,برا!$A$2:AJ50,3,FALSE)),"",VLOOKUP($B72,برا!$A$2:AJ50,3,FALSE))</f>
        <v>1</v>
      </c>
      <c r="D72" s="10" t="str">
        <f>IF(ISBLANK(VLOOKUP($B72,برا!$A$2:AK50,2,FALSE)),"",VLOOKUP($B72,برا!$A$2:AK50,2,FALSE))</f>
        <v>قلعة سنان</v>
      </c>
      <c r="E72" s="10" t="str">
        <f>IF(ISBLANK(VLOOKUP($B72,برا!$A$2:AG50,4,FALSE)),"",VLOOKUP($B72,برا!$A$2:AG50,4,FALSE))</f>
        <v/>
      </c>
      <c r="F72" s="10" t="str">
        <f>IF(ISBLANK(VLOOKUP($B72,برا!$A$2:AG50,5,FALSE)),"",VLOOKUP($B72,برا!$A$2:AG50,5,FALSE))</f>
        <v/>
      </c>
      <c r="G72" s="10" t="str">
        <f>IF(ISBLANK(VLOOKUP($B72,برا!$A$2:AG50,6,FALSE)),"",VLOOKUP($B72,برا!$A$2:AG50,6,FALSE))</f>
        <v/>
      </c>
      <c r="H72" s="10" t="str">
        <f>IF(ISBLANK(VLOOKUP($B72,برا!$A$2:AE50,7,FALSE)),"",VLOOKUP($B72,برا!$A$2:AE50,7,FALSE))</f>
        <v/>
      </c>
      <c r="I72" s="10">
        <f>IF(ISBLANK(VLOOKUP($B72,برا!$A$2:AF50,8,FALSE)),"",VLOOKUP($B72,برا!$A$2:AF50,8,FALSE))</f>
        <v>1</v>
      </c>
      <c r="J72" s="10" t="str">
        <f>IF(ISBLANK(VLOOKUP($B72,برا!$A$2:AG50,9,FALSE)),"",VLOOKUP($B72,برا!$A$2:AG50,9,FALSE))</f>
        <v/>
      </c>
      <c r="K72" s="10" t="str">
        <f>IF(ISBLANK(VLOOKUP($B72,برا!$A$2:AJ50,10,FALSE)),"",VLOOKUP($B72,برا!$A$2:AJ50,10,FALSE))</f>
        <v/>
      </c>
      <c r="L72" s="10">
        <f>IF(ISBLANK(VLOOKUP($B72,برا!$A$2:AK50,11,FALSE)),"",VLOOKUP($B72,برا!$A$2:AK50,11,FALSE))</f>
        <v>1</v>
      </c>
      <c r="M72" s="10" t="str">
        <f>IF(ISBLANK(VLOOKUP($B72,برا!$A$2:AK50,12,FALSE)),"",VLOOKUP($B72,برا!$A$2:AK50,12,FALSE))</f>
        <v/>
      </c>
      <c r="N72" s="10" t="str">
        <f>IF(ISBLANK(VLOOKUP($B72,برا!$A$2:AL50,13,FALSE)),"",VLOOKUP($B72,برا!$A$2:AL50,13,FALSE))</f>
        <v/>
      </c>
      <c r="O72" s="10">
        <f>IF(ISBLANK(VLOOKUP($B72,برا!$A$2:AM50,14,FALSE)),"",VLOOKUP($B72,برا!$A$2:AM50,14,FALSE))</f>
        <v>1</v>
      </c>
      <c r="P72" s="10" t="str">
        <f>IF(ISBLANK(VLOOKUP($B72,برا!$A$2:AN50,15,FALSE)),"",VLOOKUP($B72,برا!$A$2:AN50,15,FALSE))</f>
        <v/>
      </c>
      <c r="Q72" s="10" t="str">
        <f>IF(ISBLANK(VLOOKUP($B72,برا!$A$2:AO50,16,FALSE)),"",VLOOKUP($B72,برا!$A$2:AO50,16,FALSE))</f>
        <v/>
      </c>
      <c r="R72" s="199"/>
      <c r="S72" s="10" t="str">
        <f>IF(ISBLANK(VLOOKUP($B72,برا!$A$2:AQ50,17,FALSE)),"",VLOOKUP($B72,برا!$A$2:AQ50,17,FALSE))</f>
        <v/>
      </c>
      <c r="T72" s="10"/>
      <c r="U72" s="10" t="str">
        <f>IF(ISBLANK(VLOOKUP($B72,برا!$A$2:AS50,18,FALSE)),"",VLOOKUP($B72,برا!$A$2:AS50,18,FALSE))</f>
        <v/>
      </c>
      <c r="V72" s="10" t="str">
        <f>IF(ISBLANK(VLOOKUP($B72,برا!$A$2:AT50,19,FALSE)),"",VLOOKUP($B72,برا!$A$2:AT50,19,FALSE))</f>
        <v/>
      </c>
      <c r="W72" s="10" t="str">
        <f>IF(ISBLANK(VLOOKUP($B72,برا!$A$2:AU50,20,FALSE)),"",VLOOKUP($B72,برا!$A$2:AU50,20,FALSE))</f>
        <v/>
      </c>
      <c r="X72" s="10">
        <f>IF(ISBLANK(VLOOKUP($B72,برا!$A$2:AU50,21,FALSE)),0,VLOOKUP($B72,برا!$A$2:AU50,21,FALSE))</f>
        <v>0</v>
      </c>
      <c r="Y72" s="10">
        <f>IF(ISBLANK(VLOOKUP($B72,برا!$A$2:AV50,22,FALSE)),0,VLOOKUP($B72,برا!$A$2:AV50,22,FALSE))</f>
        <v>0</v>
      </c>
      <c r="Z72" s="10">
        <f>IF(ISBLANK(VLOOKUP($B72,برا!$A$2:AW50,23,FALSE)),0,VLOOKUP($B72,برا!$A$2:AW50,23,FALSE))</f>
        <v>0</v>
      </c>
      <c r="AA72" s="10">
        <f>IF(ISBLANK(VLOOKUP($B72,برا!$A$2:AX50,24,FALSE)),0,VLOOKUP($B72,برا!$A$2:AX50,24,FALSE))</f>
        <v>0</v>
      </c>
      <c r="AB72" s="10">
        <f>IF(ISBLANK(VLOOKUP($B72,برا!$A$2:AY50,25,FALSE)),0,VLOOKUP($B72,برا!$A$2:AY50,25,FALSE))</f>
        <v>0</v>
      </c>
      <c r="AC72" s="10">
        <f>IF(ISBLANK(VLOOKUP($B72,برا!$A$2:AZ50,26,FALSE)),0,VLOOKUP($B72,برا!$A$2:AZ50,26,FALSE))</f>
        <v>0</v>
      </c>
      <c r="AD72" s="10">
        <f>IF(ISBLANK(VLOOKUP($B72,برا!$A$2:BA50,27,FALSE)),0,VLOOKUP($B72,برا!$A$2:BA50,27,FALSE))</f>
        <v>0</v>
      </c>
      <c r="AE72" s="10">
        <f>IF(ISBLANK(VLOOKUP($B72,برا!$A$2:BB50,28,FALSE)),0,VLOOKUP($B72,برا!$A$2:BB50,28,FALSE))</f>
        <v>0</v>
      </c>
      <c r="AF72" s="10">
        <f>IF(ISBLANK(VLOOKUP($B72,برا!$A$2:BC50,29,FALSE)),0,VLOOKUP($B72,برا!$A$2:BC50,29,FALSE))</f>
        <v>0</v>
      </c>
      <c r="AG72" s="10">
        <f>IF(ISBLANK(VLOOKUP($B72,برا!$A$2:BD50,30,FALSE)),0,VLOOKUP($B72,برا!$A$2:BD50,30,FALSE))</f>
        <v>0</v>
      </c>
      <c r="AH72" s="10">
        <f>IF(ISBLANK(VLOOKUP($B72,برا!$A$2:BE50,31,FALSE)),0,VLOOKUP($B72,برا!$A$2:BE50,31,FALSE))</f>
        <v>0</v>
      </c>
      <c r="AI72" s="10">
        <f>IF(ISBLANK(VLOOKUP($B72,برا!$A$2:BF50,32,FALSE)),0,VLOOKUP($B72,برا!$A$2:BF50,32,FALSE))</f>
        <v>0</v>
      </c>
      <c r="AJ72" s="10">
        <f>IF(ISBLANK(VLOOKUP($B72,برا!$A$2:BG50,33,FALSE)),0,VLOOKUP($B72,برا!$A$2:BG50,33,FALSE))</f>
        <v>0</v>
      </c>
      <c r="AK72" s="10">
        <f>IF(ISBLANK(VLOOKUP($B72,برا!$A$2:BH50,34,FALSE)),0,VLOOKUP($B72,برا!$A$2:BH50,34,FALSE))</f>
        <v>0</v>
      </c>
      <c r="AL72" s="10">
        <f>IF(ISBLANK(VLOOKUP($B72,برا!$A$2:BI50,35,FALSE)),0,VLOOKUP($B72,برا!$A$2:BI50,35,FALSE))</f>
        <v>0</v>
      </c>
      <c r="AM72" s="10">
        <f>IF(ISBLANK(VLOOKUP($B72,برا!$A$2:BJ50,36,FALSE)),0,VLOOKUP($B72,برا!$A$2:BJ50,36,FALSE))</f>
        <v>0</v>
      </c>
      <c r="AN72" s="10" t="str">
        <f t="shared" si="3"/>
        <v/>
      </c>
    </row>
    <row r="73" spans="2:40" ht="48" customHeight="1" thickTop="1" thickBot="1">
      <c r="B73" s="10" t="str">
        <f>برا!A22</f>
        <v>القيروان</v>
      </c>
      <c r="C73" s="10" t="str">
        <f>IF(ISBLANK(VLOOKUP($B73,برا!$A$2:AJ51,3,FALSE)),"",VLOOKUP($B73,برا!$A$2:AJ51,3,FALSE))</f>
        <v/>
      </c>
      <c r="D73" s="10" t="str">
        <f>IF(ISBLANK(VLOOKUP($B73,برا!$A$2:AK51,2,FALSE)),"",VLOOKUP($B73,برا!$A$2:AK51,2,FALSE))</f>
        <v/>
      </c>
      <c r="E73" s="10" t="str">
        <f>IF(ISBLANK(VLOOKUP($B73,برا!$A$2:AG51,4,FALSE)),"",VLOOKUP($B73,برا!$A$2:AG51,4,FALSE))</f>
        <v/>
      </c>
      <c r="F73" s="10" t="str">
        <f>IF(ISBLANK(VLOOKUP($B73,برا!$A$2:AG51,5,FALSE)),"",VLOOKUP($B73,برا!$A$2:AG51,5,FALSE))</f>
        <v/>
      </c>
      <c r="G73" s="10" t="str">
        <f>IF(ISBLANK(VLOOKUP($B73,برا!$A$2:AG51,6,FALSE)),"",VLOOKUP($B73,برا!$A$2:AG51,6,FALSE))</f>
        <v/>
      </c>
      <c r="H73" s="10" t="str">
        <f>IF(ISBLANK(VLOOKUP($B73,برا!$A$2:AE51,7,FALSE)),"",VLOOKUP($B73,برا!$A$2:AE51,7,FALSE))</f>
        <v/>
      </c>
      <c r="I73" s="10" t="str">
        <f>IF(ISBLANK(VLOOKUP($B73,برا!$A$2:AF51,8,FALSE)),"",VLOOKUP($B73,برا!$A$2:AF51,8,FALSE))</f>
        <v/>
      </c>
      <c r="J73" s="10" t="str">
        <f>IF(ISBLANK(VLOOKUP($B73,برا!$A$2:AG51,9,FALSE)),"",VLOOKUP($B73,برا!$A$2:AG51,9,FALSE))</f>
        <v/>
      </c>
      <c r="K73" s="10" t="str">
        <f>IF(ISBLANK(VLOOKUP($B73,برا!$A$2:AJ51,10,FALSE)),"",VLOOKUP($B73,برا!$A$2:AJ51,10,FALSE))</f>
        <v/>
      </c>
      <c r="L73" s="10" t="str">
        <f>IF(ISBLANK(VLOOKUP($B73,برا!$A$2:AK51,11,FALSE)),"",VLOOKUP($B73,برا!$A$2:AK51,11,FALSE))</f>
        <v/>
      </c>
      <c r="M73" s="10" t="str">
        <f>IF(ISBLANK(VLOOKUP($B73,برا!$A$2:AK51,12,FALSE)),"",VLOOKUP($B73,برا!$A$2:AK51,12,FALSE))</f>
        <v/>
      </c>
      <c r="N73" s="10" t="str">
        <f>IF(ISBLANK(VLOOKUP($B73,برا!$A$2:AL51,13,FALSE)),"",VLOOKUP($B73,برا!$A$2:AL51,13,FALSE))</f>
        <v/>
      </c>
      <c r="O73" s="10" t="str">
        <f>IF(ISBLANK(VLOOKUP($B73,برا!$A$2:AM51,14,FALSE)),"",VLOOKUP($B73,برا!$A$2:AM51,14,FALSE))</f>
        <v/>
      </c>
      <c r="P73" s="10" t="str">
        <f>IF(ISBLANK(VLOOKUP($B73,برا!$A$2:AN51,15,FALSE)),"",VLOOKUP($B73,برا!$A$2:AN51,15,FALSE))</f>
        <v/>
      </c>
      <c r="Q73" s="10" t="str">
        <f>IF(ISBLANK(VLOOKUP($B73,برا!$A$2:AO51,16,FALSE)),"",VLOOKUP($B73,برا!$A$2:AO51,16,FALSE))</f>
        <v/>
      </c>
      <c r="R73" s="199"/>
      <c r="S73" s="10" t="str">
        <f>IF(ISBLANK(VLOOKUP($B73,برا!$A$2:AQ51,17,FALSE)),"",VLOOKUP($B73,برا!$A$2:AQ51,17,FALSE))</f>
        <v/>
      </c>
      <c r="T73" s="10"/>
      <c r="U73" s="10" t="str">
        <f>IF(ISBLANK(VLOOKUP($B73,برا!$A$2:AS51,18,FALSE)),"",VLOOKUP($B73,برا!$A$2:AS51,18,FALSE))</f>
        <v/>
      </c>
      <c r="V73" s="10" t="str">
        <f>IF(ISBLANK(VLOOKUP($B73,برا!$A$2:AT51,19,FALSE)),"",VLOOKUP($B73,برا!$A$2:AT51,19,FALSE))</f>
        <v/>
      </c>
      <c r="W73" s="10" t="str">
        <f>IF(ISBLANK(VLOOKUP($B73,برا!$A$2:AU51,20,FALSE)),"",VLOOKUP($B73,برا!$A$2:AU51,20,FALSE))</f>
        <v/>
      </c>
      <c r="X73" s="10">
        <f>IF(ISBLANK(VLOOKUP($B73,برا!$A$2:AU51,21,FALSE)),0,VLOOKUP($B73,برا!$A$2:AU51,21,FALSE))</f>
        <v>0</v>
      </c>
      <c r="Y73" s="10">
        <f>IF(ISBLANK(VLOOKUP($B73,برا!$A$2:AV51,22,FALSE)),0,VLOOKUP($B73,برا!$A$2:AV51,22,FALSE))</f>
        <v>0</v>
      </c>
      <c r="Z73" s="10">
        <f>IF(ISBLANK(VLOOKUP($B73,برا!$A$2:AW51,23,FALSE)),0,VLOOKUP($B73,برا!$A$2:AW51,23,FALSE))</f>
        <v>0</v>
      </c>
      <c r="AA73" s="10">
        <f>IF(ISBLANK(VLOOKUP($B73,برا!$A$2:AX51,24,FALSE)),0,VLOOKUP($B73,برا!$A$2:AX51,24,FALSE))</f>
        <v>0</v>
      </c>
      <c r="AB73" s="10">
        <f>IF(ISBLANK(VLOOKUP($B73,برا!$A$2:AY51,25,FALSE)),0,VLOOKUP($B73,برا!$A$2:AY51,25,FALSE))</f>
        <v>0</v>
      </c>
      <c r="AC73" s="10">
        <f>IF(ISBLANK(VLOOKUP($B73,برا!$A$2:AZ51,26,FALSE)),0,VLOOKUP($B73,برا!$A$2:AZ51,26,FALSE))</f>
        <v>0</v>
      </c>
      <c r="AD73" s="10">
        <f>IF(ISBLANK(VLOOKUP($B73,برا!$A$2:BA51,27,FALSE)),0,VLOOKUP($B73,برا!$A$2:BA51,27,FALSE))</f>
        <v>0</v>
      </c>
      <c r="AE73" s="10">
        <f>IF(ISBLANK(VLOOKUP($B73,برا!$A$2:BB51,28,FALSE)),0,VLOOKUP($B73,برا!$A$2:BB51,28,FALSE))</f>
        <v>0</v>
      </c>
      <c r="AF73" s="10">
        <f>IF(ISBLANK(VLOOKUP($B73,برا!$A$2:BC51,29,FALSE)),0,VLOOKUP($B73,برا!$A$2:BC51,29,FALSE))</f>
        <v>0</v>
      </c>
      <c r="AG73" s="10">
        <f>IF(ISBLANK(VLOOKUP($B73,برا!$A$2:BD51,30,FALSE)),0,VLOOKUP($B73,برا!$A$2:BD51,30,FALSE))</f>
        <v>0</v>
      </c>
      <c r="AH73" s="10">
        <f>IF(ISBLANK(VLOOKUP($B73,برا!$A$2:BE51,31,FALSE)),0,VLOOKUP($B73,برا!$A$2:BE51,31,FALSE))</f>
        <v>0</v>
      </c>
      <c r="AI73" s="10">
        <f>IF(ISBLANK(VLOOKUP($B73,برا!$A$2:BF51,32,FALSE)),0,VLOOKUP($B73,برا!$A$2:BF51,32,FALSE))</f>
        <v>0</v>
      </c>
      <c r="AJ73" s="10">
        <f>IF(ISBLANK(VLOOKUP($B73,برا!$A$2:BG51,33,FALSE)),0,VLOOKUP($B73,برا!$A$2:BG51,33,FALSE))</f>
        <v>0</v>
      </c>
      <c r="AK73" s="10">
        <f>IF(ISBLANK(VLOOKUP($B73,برا!$A$2:BH51,34,FALSE)),0,VLOOKUP($B73,برا!$A$2:BH51,34,FALSE))</f>
        <v>0</v>
      </c>
      <c r="AL73" s="10">
        <f>IF(ISBLANK(VLOOKUP($B73,برا!$A$2:BI51,35,FALSE)),0,VLOOKUP($B73,برا!$A$2:BI51,35,FALSE))</f>
        <v>0</v>
      </c>
      <c r="AM73" s="10">
        <f>IF(ISBLANK(VLOOKUP($B73,برا!$A$2:BJ51,36,FALSE)),0,VLOOKUP($B73,برا!$A$2:BJ51,36,FALSE))</f>
        <v>0</v>
      </c>
      <c r="AN73" s="10" t="str">
        <f t="shared" si="3"/>
        <v/>
      </c>
    </row>
    <row r="74" spans="2:40" ht="48" customHeight="1" thickTop="1" thickBot="1">
      <c r="B74" s="10" t="str">
        <f>برا!A23</f>
        <v>القصرين</v>
      </c>
      <c r="C74" s="10" t="str">
        <f>IF(ISBLANK(VLOOKUP($B74,برا!$A$2:AJ52,3,FALSE)),"",VLOOKUP($B74,برا!$A$2:AJ52,3,FALSE))</f>
        <v/>
      </c>
      <c r="D74" s="10" t="str">
        <f>IF(ISBLANK(VLOOKUP($B74,برا!$A$2:AK52,2,FALSE)),"",VLOOKUP($B74,برا!$A$2:AK52,2,FALSE))</f>
        <v/>
      </c>
      <c r="E74" s="10" t="str">
        <f>IF(ISBLANK(VLOOKUP($B74,برا!$A$2:AG52,4,FALSE)),"",VLOOKUP($B74,برا!$A$2:AG52,4,FALSE))</f>
        <v/>
      </c>
      <c r="F74" s="10" t="str">
        <f>IF(ISBLANK(VLOOKUP($B74,برا!$A$2:AG52,5,FALSE)),"",VLOOKUP($B74,برا!$A$2:AG52,5,FALSE))</f>
        <v/>
      </c>
      <c r="G74" s="10" t="str">
        <f>IF(ISBLANK(VLOOKUP($B74,برا!$A$2:AG52,6,FALSE)),"",VLOOKUP($B74,برا!$A$2:AG52,6,FALSE))</f>
        <v/>
      </c>
      <c r="H74" s="10" t="str">
        <f>IF(ISBLANK(VLOOKUP($B74,برا!$A$2:AE52,7,FALSE)),"",VLOOKUP($B74,برا!$A$2:AE52,7,FALSE))</f>
        <v/>
      </c>
      <c r="I74" s="10" t="str">
        <f>IF(ISBLANK(VLOOKUP($B74,برا!$A$2:AF52,8,FALSE)),"",VLOOKUP($B74,برا!$A$2:AF52,8,FALSE))</f>
        <v/>
      </c>
      <c r="J74" s="10" t="str">
        <f>IF(ISBLANK(VLOOKUP($B74,برا!$A$2:AG52,9,FALSE)),"",VLOOKUP($B74,برا!$A$2:AG52,9,FALSE))</f>
        <v/>
      </c>
      <c r="K74" s="10" t="str">
        <f>IF(ISBLANK(VLOOKUP($B74,برا!$A$2:AJ52,10,FALSE)),"",VLOOKUP($B74,برا!$A$2:AJ52,10,FALSE))</f>
        <v/>
      </c>
      <c r="L74" s="10" t="str">
        <f>IF(ISBLANK(VLOOKUP($B74,برا!$A$2:AK52,11,FALSE)),"",VLOOKUP($B74,برا!$A$2:AK52,11,FALSE))</f>
        <v/>
      </c>
      <c r="M74" s="10" t="str">
        <f>IF(ISBLANK(VLOOKUP($B74,برا!$A$2:AK52,12,FALSE)),"",VLOOKUP($B74,برا!$A$2:AK52,12,FALSE))</f>
        <v/>
      </c>
      <c r="N74" s="10" t="str">
        <f>IF(ISBLANK(VLOOKUP($B74,برا!$A$2:AL52,13,FALSE)),"",VLOOKUP($B74,برا!$A$2:AL52,13,FALSE))</f>
        <v/>
      </c>
      <c r="O74" s="10" t="str">
        <f>IF(ISBLANK(VLOOKUP($B74,برا!$A$2:AM52,14,FALSE)),"",VLOOKUP($B74,برا!$A$2:AM52,14,FALSE))</f>
        <v/>
      </c>
      <c r="P74" s="10" t="str">
        <f>IF(ISBLANK(VLOOKUP($B74,برا!$A$2:AN52,15,FALSE)),"",VLOOKUP($B74,برا!$A$2:AN52,15,FALSE))</f>
        <v/>
      </c>
      <c r="Q74" s="10" t="str">
        <f>IF(ISBLANK(VLOOKUP($B74,برا!$A$2:AO52,16,FALSE)),"",VLOOKUP($B74,برا!$A$2:AO52,16,FALSE))</f>
        <v/>
      </c>
      <c r="R74" s="199"/>
      <c r="S74" s="10" t="str">
        <f>IF(ISBLANK(VLOOKUP($B74,برا!$A$2:AQ52,17,FALSE)),"",VLOOKUP($B74,برا!$A$2:AQ52,17,FALSE))</f>
        <v/>
      </c>
      <c r="T74" s="10"/>
      <c r="U74" s="10" t="str">
        <f>IF(ISBLANK(VLOOKUP($B74,برا!$A$2:AS52,18,FALSE)),"",VLOOKUP($B74,برا!$A$2:AS52,18,FALSE))</f>
        <v/>
      </c>
      <c r="V74" s="10" t="str">
        <f>IF(ISBLANK(VLOOKUP($B74,برا!$A$2:AT52,19,FALSE)),"",VLOOKUP($B74,برا!$A$2:AT52,19,FALSE))</f>
        <v/>
      </c>
      <c r="W74" s="10" t="str">
        <f>IF(ISBLANK(VLOOKUP($B74,برا!$A$2:AU52,20,FALSE)),"",VLOOKUP($B74,برا!$A$2:AU52,20,FALSE))</f>
        <v/>
      </c>
      <c r="X74" s="10">
        <f>IF(ISBLANK(VLOOKUP($B74,برا!$A$2:AU52,21,FALSE)),0,VLOOKUP($B74,برا!$A$2:AU52,21,FALSE))</f>
        <v>0</v>
      </c>
      <c r="Y74" s="10">
        <f>IF(ISBLANK(VLOOKUP($B74,برا!$A$2:AV52,22,FALSE)),0,VLOOKUP($B74,برا!$A$2:AV52,22,FALSE))</f>
        <v>0</v>
      </c>
      <c r="Z74" s="10">
        <f>IF(ISBLANK(VLOOKUP($B74,برا!$A$2:AW52,23,FALSE)),0,VLOOKUP($B74,برا!$A$2:AW52,23,FALSE))</f>
        <v>0</v>
      </c>
      <c r="AA74" s="10">
        <f>IF(ISBLANK(VLOOKUP($B74,برا!$A$2:AX52,24,FALSE)),0,VLOOKUP($B74,برا!$A$2:AX52,24,FALSE))</f>
        <v>0</v>
      </c>
      <c r="AB74" s="10">
        <f>IF(ISBLANK(VLOOKUP($B74,برا!$A$2:AY52,25,FALSE)),0,VLOOKUP($B74,برا!$A$2:AY52,25,FALSE))</f>
        <v>0</v>
      </c>
      <c r="AC74" s="10">
        <f>IF(ISBLANK(VLOOKUP($B74,برا!$A$2:AZ52,26,FALSE)),0,VLOOKUP($B74,برا!$A$2:AZ52,26,FALSE))</f>
        <v>0</v>
      </c>
      <c r="AD74" s="10">
        <f>IF(ISBLANK(VLOOKUP($B74,برا!$A$2:BA52,27,FALSE)),0,VLOOKUP($B74,برا!$A$2:BA52,27,FALSE))</f>
        <v>0</v>
      </c>
      <c r="AE74" s="10">
        <f>IF(ISBLANK(VLOOKUP($B74,برا!$A$2:BB52,28,FALSE)),0,VLOOKUP($B74,برا!$A$2:BB52,28,FALSE))</f>
        <v>0</v>
      </c>
      <c r="AF74" s="10">
        <f>IF(ISBLANK(VLOOKUP($B74,برا!$A$2:BC52,29,FALSE)),0,VLOOKUP($B74,برا!$A$2:BC52,29,FALSE))</f>
        <v>0</v>
      </c>
      <c r="AG74" s="10">
        <f>IF(ISBLANK(VLOOKUP($B74,برا!$A$2:BD52,30,FALSE)),0,VLOOKUP($B74,برا!$A$2:BD52,30,FALSE))</f>
        <v>0</v>
      </c>
      <c r="AH74" s="10">
        <f>IF(ISBLANK(VLOOKUP($B74,برا!$A$2:BE52,31,FALSE)),0,VLOOKUP($B74,برا!$A$2:BE52,31,FALSE))</f>
        <v>0</v>
      </c>
      <c r="AI74" s="10">
        <f>IF(ISBLANK(VLOOKUP($B74,برا!$A$2:BF52,32,FALSE)),0,VLOOKUP($B74,برا!$A$2:BF52,32,FALSE))</f>
        <v>0</v>
      </c>
      <c r="AJ74" s="10">
        <f>IF(ISBLANK(VLOOKUP($B74,برا!$A$2:BG52,33,FALSE)),0,VLOOKUP($B74,برا!$A$2:BG52,33,FALSE))</f>
        <v>0</v>
      </c>
      <c r="AK74" s="10">
        <f>IF(ISBLANK(VLOOKUP($B74,برا!$A$2:BH52,34,FALSE)),0,VLOOKUP($B74,برا!$A$2:BH52,34,FALSE))</f>
        <v>0</v>
      </c>
      <c r="AL74" s="10">
        <f>IF(ISBLANK(VLOOKUP($B74,برا!$A$2:BI52,35,FALSE)),0,VLOOKUP($B74,برا!$A$2:BI52,35,FALSE))</f>
        <v>0</v>
      </c>
      <c r="AM74" s="10">
        <f>IF(ISBLANK(VLOOKUP($B74,برا!$A$2:BJ52,36,FALSE)),0,VLOOKUP($B74,برا!$A$2:BJ52,36,FALSE))</f>
        <v>0</v>
      </c>
      <c r="AN74" s="10" t="str">
        <f t="shared" si="3"/>
        <v/>
      </c>
    </row>
    <row r="75" spans="2:40" ht="57" customHeight="1" thickTop="1" thickBot="1">
      <c r="B75" s="10" t="str">
        <f>برا!A24</f>
        <v>الفرق المركزية للأبحاث</v>
      </c>
      <c r="C75" s="10" t="str">
        <f>IF(ISBLANK(VLOOKUP($B75,برا!$A$2:AJ53,3,FALSE)),"",VLOOKUP($B75,برا!$A$2:AJ53,3,FALSE))</f>
        <v/>
      </c>
      <c r="D75" s="10" t="str">
        <f>IF(ISBLANK(VLOOKUP($B75,برا!$A$2:AK53,2,FALSE)),"",VLOOKUP($B75,برا!$A$2:AK53,2,FALSE))</f>
        <v/>
      </c>
      <c r="E75" s="10" t="str">
        <f>IF(ISBLANK(VLOOKUP($B75,برا!$A$2:AG53,4,FALSE)),"",VLOOKUP($B75,برا!$A$2:AG53,4,FALSE))</f>
        <v/>
      </c>
      <c r="F75" s="10" t="str">
        <f>IF(ISBLANK(VLOOKUP($B75,برا!$A$2:AG53,5,FALSE)),"",VLOOKUP($B75,برا!$A$2:AG53,5,FALSE))</f>
        <v/>
      </c>
      <c r="G75" s="10" t="str">
        <f>IF(ISBLANK(VLOOKUP($B75,برا!$A$2:AG53,6,FALSE)),"",VLOOKUP($B75,برا!$A$2:AG53,6,FALSE))</f>
        <v/>
      </c>
      <c r="H75" s="10" t="str">
        <f>IF(ISBLANK(VLOOKUP($B75,برا!$A$2:AE53,7,FALSE)),"",VLOOKUP($B75,برا!$A$2:AE53,7,FALSE))</f>
        <v/>
      </c>
      <c r="I75" s="10" t="str">
        <f>IF(ISBLANK(VLOOKUP($B75,برا!$A$2:AF53,8,FALSE)),"",VLOOKUP($B75,برا!$A$2:AF53,8,FALSE))</f>
        <v/>
      </c>
      <c r="J75" s="10" t="str">
        <f>IF(ISBLANK(VLOOKUP($B75,برا!$A$2:AG53,9,FALSE)),"",VLOOKUP($B75,برا!$A$2:AG53,9,FALSE))</f>
        <v/>
      </c>
      <c r="K75" s="10" t="str">
        <f>IF(ISBLANK(VLOOKUP($B75,برا!$A$2:AJ53,10,FALSE)),"",VLOOKUP($B75,برا!$A$2:AJ53,10,FALSE))</f>
        <v/>
      </c>
      <c r="L75" s="10" t="str">
        <f>IF(ISBLANK(VLOOKUP($B75,برا!$A$2:AK53,11,FALSE)),"",VLOOKUP($B75,برا!$A$2:AK53,11,FALSE))</f>
        <v/>
      </c>
      <c r="M75" s="10" t="str">
        <f>IF(ISBLANK(VLOOKUP($B75,برا!$A$2:AK53,12,FALSE)),"",VLOOKUP($B75,برا!$A$2:AK53,12,FALSE))</f>
        <v/>
      </c>
      <c r="N75" s="10" t="str">
        <f>IF(ISBLANK(VLOOKUP($B75,برا!$A$2:AL53,13,FALSE)),"",VLOOKUP($B75,برا!$A$2:AL53,13,FALSE))</f>
        <v/>
      </c>
      <c r="O75" s="10" t="str">
        <f>IF(ISBLANK(VLOOKUP($B75,برا!$A$2:AM53,14,FALSE)),"",VLOOKUP($B75,برا!$A$2:AM53,14,FALSE))</f>
        <v/>
      </c>
      <c r="P75" s="10" t="str">
        <f>IF(ISBLANK(VLOOKUP($B75,برا!$A$2:AN53,15,FALSE)),"",VLOOKUP($B75,برا!$A$2:AN53,15,FALSE))</f>
        <v/>
      </c>
      <c r="Q75" s="10" t="str">
        <f>IF(ISBLANK(VLOOKUP($B75,برا!$A$2:AO53,16,FALSE)),"",VLOOKUP($B75,برا!$A$2:AO53,16,FALSE))</f>
        <v/>
      </c>
      <c r="R75" s="199"/>
      <c r="S75" s="10" t="str">
        <f>IF(ISBLANK(VLOOKUP($B75,برا!$A$2:AQ53,17,FALSE)),"",VLOOKUP($B75,برا!$A$2:AQ53,17,FALSE))</f>
        <v/>
      </c>
      <c r="T75" s="10"/>
      <c r="U75" s="10" t="str">
        <f>IF(ISBLANK(VLOOKUP($B75,برا!$A$2:AS53,18,FALSE)),"",VLOOKUP($B75,برا!$A$2:AS53,18,FALSE))</f>
        <v/>
      </c>
      <c r="V75" s="10" t="str">
        <f>IF(ISBLANK(VLOOKUP($B75,برا!$A$2:AT53,19,FALSE)),"",VLOOKUP($B75,برا!$A$2:AT53,19,FALSE))</f>
        <v/>
      </c>
      <c r="W75" s="10" t="str">
        <f>IF(ISBLANK(VLOOKUP($B75,برا!$A$2:AU53,20,FALSE)),"",VLOOKUP($B75,برا!$A$2:AU53,20,FALSE))</f>
        <v/>
      </c>
      <c r="X75" s="10">
        <f>IF(ISBLANK(VLOOKUP($B75,برا!$A$2:AU53,21,FALSE)),0,VLOOKUP($B75,برا!$A$2:AU53,21,FALSE))</f>
        <v>0</v>
      </c>
      <c r="Y75" s="10">
        <f>IF(ISBLANK(VLOOKUP($B75,برا!$A$2:AV53,22,FALSE)),0,VLOOKUP($B75,برا!$A$2:AV53,22,FALSE))</f>
        <v>0</v>
      </c>
      <c r="Z75" s="10">
        <f>IF(ISBLANK(VLOOKUP($B75,برا!$A$2:AW53,23,FALSE)),0,VLOOKUP($B75,برا!$A$2:AW53,23,FALSE))</f>
        <v>0</v>
      </c>
      <c r="AA75" s="10">
        <f>IF(ISBLANK(VLOOKUP($B75,برا!$A$2:AX53,24,FALSE)),0,VLOOKUP($B75,برا!$A$2:AX53,24,FALSE))</f>
        <v>0</v>
      </c>
      <c r="AB75" s="10">
        <f>IF(ISBLANK(VLOOKUP($B75,برا!$A$2:AY53,25,FALSE)),0,VLOOKUP($B75,برا!$A$2:AY53,25,FALSE))</f>
        <v>0</v>
      </c>
      <c r="AC75" s="10">
        <f>IF(ISBLANK(VLOOKUP($B75,برا!$A$2:AZ53,26,FALSE)),0,VLOOKUP($B75,برا!$A$2:AZ53,26,FALSE))</f>
        <v>0</v>
      </c>
      <c r="AD75" s="10">
        <f>IF(ISBLANK(VLOOKUP($B75,برا!$A$2:BA53,27,FALSE)),0,VLOOKUP($B75,برا!$A$2:BA53,27,FALSE))</f>
        <v>0</v>
      </c>
      <c r="AE75" s="10">
        <f>IF(ISBLANK(VLOOKUP($B75,برا!$A$2:BB53,28,FALSE)),0,VLOOKUP($B75,برا!$A$2:BB53,28,FALSE))</f>
        <v>0</v>
      </c>
      <c r="AF75" s="10">
        <f>IF(ISBLANK(VLOOKUP($B75,برا!$A$2:BC53,29,FALSE)),0,VLOOKUP($B75,برا!$A$2:BC53,29,FALSE))</f>
        <v>0</v>
      </c>
      <c r="AG75" s="10">
        <f>IF(ISBLANK(VLOOKUP($B75,برا!$A$2:BD53,30,FALSE)),0,VLOOKUP($B75,برا!$A$2:BD53,30,FALSE))</f>
        <v>0</v>
      </c>
      <c r="AH75" s="10">
        <f>IF(ISBLANK(VLOOKUP($B75,برا!$A$2:BE53,31,FALSE)),0,VLOOKUP($B75,برا!$A$2:BE53,31,FALSE))</f>
        <v>0</v>
      </c>
      <c r="AI75" s="10">
        <f>IF(ISBLANK(VLOOKUP($B75,برا!$A$2:BF53,32,FALSE)),0,VLOOKUP($B75,برا!$A$2:BF53,32,FALSE))</f>
        <v>0</v>
      </c>
      <c r="AJ75" s="10">
        <f>IF(ISBLANK(VLOOKUP($B75,برا!$A$2:BG53,33,FALSE)),0,VLOOKUP($B75,برا!$A$2:BG53,33,FALSE))</f>
        <v>0</v>
      </c>
      <c r="AK75" s="10">
        <f>IF(ISBLANK(VLOOKUP($B75,برا!$A$2:BH53,34,FALSE)),0,VLOOKUP($B75,برا!$A$2:BH53,34,FALSE))</f>
        <v>0</v>
      </c>
      <c r="AL75" s="10">
        <f>IF(ISBLANK(VLOOKUP($B75,برا!$A$2:BI53,35,FALSE)),0,VLOOKUP($B75,برا!$A$2:BI53,35,FALSE))</f>
        <v>0</v>
      </c>
      <c r="AM75" s="10">
        <f>IF(ISBLANK(VLOOKUP($B75,برا!$A$2:BJ53,36,FALSE)),0,VLOOKUP($B75,برا!$A$2:BJ53,36,FALSE))</f>
        <v>0</v>
      </c>
      <c r="AN75" s="10" t="str">
        <f t="shared" si="3"/>
        <v/>
      </c>
    </row>
    <row r="76" spans="2:40" ht="79.5" customHeight="1" thickTop="1" thickBot="1">
      <c r="B76" s="10" t="str">
        <f>برا!A25</f>
        <v>إقليم الحرس البحري بالوسط</v>
      </c>
      <c r="C76" s="10" t="str">
        <f>IF(ISBLANK(VLOOKUP($B76,برا!$A$2:AJ54,3,FALSE)),"",VLOOKUP($B76,برا!$A$2:AJ54,3,FALSE))</f>
        <v/>
      </c>
      <c r="D76" s="10" t="str">
        <f>IF(ISBLANK(VLOOKUP($B76,برا!$A$2:AK54,2,FALSE)),"",VLOOKUP($B76,برا!$A$2:AK54,2,FALSE))</f>
        <v/>
      </c>
      <c r="E76" s="10" t="str">
        <f>IF(ISBLANK(VLOOKUP($B76,برا!$A$2:AG54,4,FALSE)),"",VLOOKUP($B76,برا!$A$2:AG54,4,FALSE))</f>
        <v/>
      </c>
      <c r="F76" s="10" t="str">
        <f>IF(ISBLANK(VLOOKUP($B76,برا!$A$2:AG54,5,FALSE)),"",VLOOKUP($B76,برا!$A$2:AG54,5,FALSE))</f>
        <v/>
      </c>
      <c r="G76" s="10" t="str">
        <f>IF(ISBLANK(VLOOKUP($B76,برا!$A$2:AG54,6,FALSE)),"",VLOOKUP($B76,برا!$A$2:AG54,6,FALSE))</f>
        <v/>
      </c>
      <c r="H76" s="10" t="str">
        <f>IF(ISBLANK(VLOOKUP($B76,برا!$A$2:AE54,7,FALSE)),"",VLOOKUP($B76,برا!$A$2:AE54,7,FALSE))</f>
        <v/>
      </c>
      <c r="I76" s="10" t="str">
        <f>IF(ISBLANK(VLOOKUP($B76,برا!$A$2:AF54,8,FALSE)),"",VLOOKUP($B76,برا!$A$2:AF54,8,FALSE))</f>
        <v/>
      </c>
      <c r="J76" s="10" t="str">
        <f>IF(ISBLANK(VLOOKUP($B76,برا!$A$2:AG54,9,FALSE)),"",VLOOKUP($B76,برا!$A$2:AG54,9,FALSE))</f>
        <v/>
      </c>
      <c r="K76" s="10" t="str">
        <f>IF(ISBLANK(VLOOKUP($B76,برا!$A$2:AJ54,10,FALSE)),"",VLOOKUP($B76,برا!$A$2:AJ54,10,FALSE))</f>
        <v/>
      </c>
      <c r="L76" s="10" t="str">
        <f>IF(ISBLANK(VLOOKUP($B76,برا!$A$2:AK54,11,FALSE)),"",VLOOKUP($B76,برا!$A$2:AK54,11,FALSE))</f>
        <v/>
      </c>
      <c r="M76" s="10" t="str">
        <f>IF(ISBLANK(VLOOKUP($B76,برا!$A$2:AK54,12,FALSE)),"",VLOOKUP($B76,برا!$A$2:AK54,12,FALSE))</f>
        <v/>
      </c>
      <c r="N76" s="10" t="str">
        <f>IF(ISBLANK(VLOOKUP($B76,برا!$A$2:AL54,13,FALSE)),"",VLOOKUP($B76,برا!$A$2:AL54,13,FALSE))</f>
        <v/>
      </c>
      <c r="O76" s="10" t="str">
        <f>IF(ISBLANK(VLOOKUP($B76,برا!$A$2:AM54,14,FALSE)),"",VLOOKUP($B76,برا!$A$2:AM54,14,FALSE))</f>
        <v/>
      </c>
      <c r="P76" s="10" t="str">
        <f>IF(ISBLANK(VLOOKUP($B76,برا!$A$2:AN54,15,FALSE)),"",VLOOKUP($B76,برا!$A$2:AN54,15,FALSE))</f>
        <v/>
      </c>
      <c r="Q76" s="10" t="str">
        <f>IF(ISBLANK(VLOOKUP($B76,برا!$A$2:AO54,16,FALSE)),"",VLOOKUP($B76,برا!$A$2:AO54,16,FALSE))</f>
        <v/>
      </c>
      <c r="R76" s="199"/>
      <c r="S76" s="10" t="str">
        <f>IF(ISBLANK(VLOOKUP($B76,برا!$A$2:AQ54,17,FALSE)),"",VLOOKUP($B76,برا!$A$2:AQ54,17,FALSE))</f>
        <v/>
      </c>
      <c r="T76" s="10"/>
      <c r="U76" s="10" t="str">
        <f>IF(ISBLANK(VLOOKUP($B76,برا!$A$2:AS54,18,FALSE)),"",VLOOKUP($B76,برا!$A$2:AS54,18,FALSE))</f>
        <v/>
      </c>
      <c r="V76" s="10" t="str">
        <f>IF(ISBLANK(VLOOKUP($B76,برا!$A$2:AT54,19,FALSE)),"",VLOOKUP($B76,برا!$A$2:AT54,19,FALSE))</f>
        <v/>
      </c>
      <c r="W76" s="10" t="str">
        <f>IF(ISBLANK(VLOOKUP($B76,برا!$A$2:AU54,20,FALSE)),"",VLOOKUP($B76,برا!$A$2:AU54,20,FALSE))</f>
        <v/>
      </c>
      <c r="X76" s="10">
        <f>IF(ISBLANK(VLOOKUP($B76,برا!$A$2:AU54,21,FALSE)),0,VLOOKUP($B76,برا!$A$2:AU54,21,FALSE))</f>
        <v>0</v>
      </c>
      <c r="Y76" s="10">
        <f>IF(ISBLANK(VLOOKUP($B76,برا!$A$2:AV54,22,FALSE)),0,VLOOKUP($B76,برا!$A$2:AV54,22,FALSE))</f>
        <v>0</v>
      </c>
      <c r="Z76" s="10">
        <f>IF(ISBLANK(VLOOKUP($B76,برا!$A$2:AW54,23,FALSE)),0,VLOOKUP($B76,برا!$A$2:AW54,23,FALSE))</f>
        <v>0</v>
      </c>
      <c r="AA76" s="10">
        <f>IF(ISBLANK(VLOOKUP($B76,برا!$A$2:AX54,24,FALSE)),0,VLOOKUP($B76,برا!$A$2:AX54,24,FALSE))</f>
        <v>0</v>
      </c>
      <c r="AB76" s="10">
        <f>IF(ISBLANK(VLOOKUP($B76,برا!$A$2:AY54,25,FALSE)),0,VLOOKUP($B76,برا!$A$2:AY54,25,FALSE))</f>
        <v>0</v>
      </c>
      <c r="AC76" s="10">
        <f>IF(ISBLANK(VLOOKUP($B76,برا!$A$2:AZ54,26,FALSE)),0,VLOOKUP($B76,برا!$A$2:AZ54,26,FALSE))</f>
        <v>0</v>
      </c>
      <c r="AD76" s="10">
        <f>IF(ISBLANK(VLOOKUP($B76,برا!$A$2:BA54,27,FALSE)),0,VLOOKUP($B76,برا!$A$2:BA54,27,FALSE))</f>
        <v>0</v>
      </c>
      <c r="AE76" s="10">
        <f>IF(ISBLANK(VLOOKUP($B76,برا!$A$2:BB54,28,FALSE)),0,VLOOKUP($B76,برا!$A$2:BB54,28,FALSE))</f>
        <v>0</v>
      </c>
      <c r="AF76" s="10">
        <f>IF(ISBLANK(VLOOKUP($B76,برا!$A$2:BC54,29,FALSE)),0,VLOOKUP($B76,برا!$A$2:BC54,29,FALSE))</f>
        <v>0</v>
      </c>
      <c r="AG76" s="10">
        <f>IF(ISBLANK(VLOOKUP($B76,برا!$A$2:BD54,30,FALSE)),0,VLOOKUP($B76,برا!$A$2:BD54,30,FALSE))</f>
        <v>0</v>
      </c>
      <c r="AH76" s="10">
        <f>IF(ISBLANK(VLOOKUP($B76,برا!$A$2:BE54,31,FALSE)),0,VLOOKUP($B76,برا!$A$2:BE54,31,FALSE))</f>
        <v>0</v>
      </c>
      <c r="AI76" s="10">
        <f>IF(ISBLANK(VLOOKUP($B76,برا!$A$2:BF54,32,FALSE)),0,VLOOKUP($B76,برا!$A$2:BF54,32,FALSE))</f>
        <v>0</v>
      </c>
      <c r="AJ76" s="10">
        <f>IF(ISBLANK(VLOOKUP($B76,برا!$A$2:BG54,33,FALSE)),0,VLOOKUP($B76,برا!$A$2:BG54,33,FALSE))</f>
        <v>0</v>
      </c>
      <c r="AK76" s="10">
        <f>IF(ISBLANK(VLOOKUP($B76,برا!$A$2:BH54,34,FALSE)),0,VLOOKUP($B76,برا!$A$2:BH54,34,FALSE))</f>
        <v>0</v>
      </c>
      <c r="AL76" s="10">
        <f>IF(ISBLANK(VLOOKUP($B76,برا!$A$2:BI54,35,FALSE)),0,VLOOKUP($B76,برا!$A$2:BI54,35,FALSE))</f>
        <v>0</v>
      </c>
      <c r="AM76" s="10">
        <f>IF(ISBLANK(VLOOKUP($B76,برا!$A$2:BJ54,36,FALSE)),0,VLOOKUP($B76,برا!$A$2:BJ54,36,FALSE))</f>
        <v>0</v>
      </c>
      <c r="AN76" s="10" t="str">
        <f t="shared" si="3"/>
        <v/>
      </c>
    </row>
    <row r="77" spans="2:40" ht="70.5" customHeight="1" thickTop="1" thickBot="1">
      <c r="B77" s="10" t="str">
        <f>برا!A26</f>
        <v>إقليم الحرس البحري بالشمال</v>
      </c>
      <c r="C77" s="10" t="str">
        <f>IF(ISBLANK(VLOOKUP($B77,برا!$A$2:AJ55,3,FALSE)),"",VLOOKUP($B77,برا!$A$2:AJ55,3,FALSE))</f>
        <v/>
      </c>
      <c r="D77" s="10" t="str">
        <f>IF(ISBLANK(VLOOKUP($B77,برا!$A$2:AK55,2,FALSE)),"",VLOOKUP($B77,برا!$A$2:AK55,2,FALSE))</f>
        <v/>
      </c>
      <c r="E77" s="10" t="str">
        <f>IF(ISBLANK(VLOOKUP($B77,برا!$A$2:AG55,4,FALSE)),"",VLOOKUP($B77,برا!$A$2:AG55,4,FALSE))</f>
        <v/>
      </c>
      <c r="F77" s="10" t="str">
        <f>IF(ISBLANK(VLOOKUP($B77,برا!$A$2:AG55,5,FALSE)),"",VLOOKUP($B77,برا!$A$2:AG55,5,FALSE))</f>
        <v/>
      </c>
      <c r="G77" s="10" t="str">
        <f>IF(ISBLANK(VLOOKUP($B77,برا!$A$2:AG55,6,FALSE)),"",VLOOKUP($B77,برا!$A$2:AG55,6,FALSE))</f>
        <v/>
      </c>
      <c r="H77" s="10" t="str">
        <f>IF(ISBLANK(VLOOKUP($B77,برا!$A$2:AE55,7,FALSE)),"",VLOOKUP($B77,برا!$A$2:AE55,7,FALSE))</f>
        <v/>
      </c>
      <c r="I77" s="10" t="str">
        <f>IF(ISBLANK(VLOOKUP($B77,برا!$A$2:AF55,8,FALSE)),"",VLOOKUP($B77,برا!$A$2:AF55,8,FALSE))</f>
        <v/>
      </c>
      <c r="J77" s="10" t="str">
        <f>IF(ISBLANK(VLOOKUP($B77,برا!$A$2:AG55,9,FALSE)),"",VLOOKUP($B77,برا!$A$2:AG55,9,FALSE))</f>
        <v/>
      </c>
      <c r="K77" s="10" t="str">
        <f>IF(ISBLANK(VLOOKUP($B77,برا!$A$2:AJ55,10,FALSE)),"",VLOOKUP($B77,برا!$A$2:AJ55,10,FALSE))</f>
        <v/>
      </c>
      <c r="L77" s="10" t="str">
        <f>IF(ISBLANK(VLOOKUP($B77,برا!$A$2:AK55,11,FALSE)),"",VLOOKUP($B77,برا!$A$2:AK55,11,FALSE))</f>
        <v/>
      </c>
      <c r="M77" s="10" t="str">
        <f>IF(ISBLANK(VLOOKUP($B77,برا!$A$2:AK55,12,FALSE)),"",VLOOKUP($B77,برا!$A$2:AK55,12,FALSE))</f>
        <v/>
      </c>
      <c r="N77" s="10" t="str">
        <f>IF(ISBLANK(VLOOKUP($B77,برا!$A$2:AL55,13,FALSE)),"",VLOOKUP($B77,برا!$A$2:AL55,13,FALSE))</f>
        <v/>
      </c>
      <c r="O77" s="10" t="str">
        <f>IF(ISBLANK(VLOOKUP($B77,برا!$A$2:AM55,14,FALSE)),"",VLOOKUP($B77,برا!$A$2:AM55,14,FALSE))</f>
        <v/>
      </c>
      <c r="P77" s="10" t="str">
        <f>IF(ISBLANK(VLOOKUP($B77,برا!$A$2:AN55,15,FALSE)),"",VLOOKUP($B77,برا!$A$2:AN55,15,FALSE))</f>
        <v/>
      </c>
      <c r="Q77" s="10" t="str">
        <f>IF(ISBLANK(VLOOKUP($B77,برا!$A$2:AO55,16,FALSE)),"",VLOOKUP($B77,برا!$A$2:AO55,16,FALSE))</f>
        <v/>
      </c>
      <c r="R77" s="199"/>
      <c r="S77" s="10" t="str">
        <f>IF(ISBLANK(VLOOKUP($B77,برا!$A$2:AQ55,17,FALSE)),"",VLOOKUP($B77,برا!$A$2:AQ55,17,FALSE))</f>
        <v/>
      </c>
      <c r="T77" s="10"/>
      <c r="U77" s="10" t="str">
        <f>IF(ISBLANK(VLOOKUP($B77,برا!$A$2:AS55,18,FALSE)),"",VLOOKUP($B77,برا!$A$2:AS55,18,FALSE))</f>
        <v/>
      </c>
      <c r="V77" s="10" t="str">
        <f>IF(ISBLANK(VLOOKUP($B77,برا!$A$2:AT55,19,FALSE)),"",VLOOKUP($B77,برا!$A$2:AT55,19,FALSE))</f>
        <v/>
      </c>
      <c r="W77" s="10" t="str">
        <f>IF(ISBLANK(VLOOKUP($B77,برا!$A$2:AU55,20,FALSE)),"",VLOOKUP($B77,برا!$A$2:AU55,20,FALSE))</f>
        <v/>
      </c>
      <c r="X77" s="10">
        <f>IF(ISBLANK(VLOOKUP($B77,برا!$A$2:AU55,21,FALSE)),0,VLOOKUP($B77,برا!$A$2:AU55,21,FALSE))</f>
        <v>0</v>
      </c>
      <c r="Y77" s="10">
        <f>IF(ISBLANK(VLOOKUP($B77,برا!$A$2:AV55,22,FALSE)),0,VLOOKUP($B77,برا!$A$2:AV55,22,FALSE))</f>
        <v>0</v>
      </c>
      <c r="Z77" s="10">
        <f>IF(ISBLANK(VLOOKUP($B77,برا!$A$2:AW55,23,FALSE)),0,VLOOKUP($B77,برا!$A$2:AW55,23,FALSE))</f>
        <v>0</v>
      </c>
      <c r="AA77" s="10">
        <f>IF(ISBLANK(VLOOKUP($B77,برا!$A$2:AX55,24,FALSE)),0,VLOOKUP($B77,برا!$A$2:AX55,24,FALSE))</f>
        <v>0</v>
      </c>
      <c r="AB77" s="10">
        <f>IF(ISBLANK(VLOOKUP($B77,برا!$A$2:AY55,25,FALSE)),0,VLOOKUP($B77,برا!$A$2:AY55,25,FALSE))</f>
        <v>0</v>
      </c>
      <c r="AC77" s="10">
        <f>IF(ISBLANK(VLOOKUP($B77,برا!$A$2:AZ55,26,FALSE)),0,VLOOKUP($B77,برا!$A$2:AZ55,26,FALSE))</f>
        <v>0</v>
      </c>
      <c r="AD77" s="10">
        <f>IF(ISBLANK(VLOOKUP($B77,برا!$A$2:BA55,27,FALSE)),0,VLOOKUP($B77,برا!$A$2:BA55,27,FALSE))</f>
        <v>0</v>
      </c>
      <c r="AE77" s="10">
        <f>IF(ISBLANK(VLOOKUP($B77,برا!$A$2:BB55,28,FALSE)),0,VLOOKUP($B77,برا!$A$2:BB55,28,FALSE))</f>
        <v>0</v>
      </c>
      <c r="AF77" s="10">
        <f>IF(ISBLANK(VLOOKUP($B77,برا!$A$2:BC55,29,FALSE)),0,VLOOKUP($B77,برا!$A$2:BC55,29,FALSE))</f>
        <v>0</v>
      </c>
      <c r="AG77" s="10">
        <f>IF(ISBLANK(VLOOKUP($B77,برا!$A$2:BD55,30,FALSE)),0,VLOOKUP($B77,برا!$A$2:BD55,30,FALSE))</f>
        <v>0</v>
      </c>
      <c r="AH77" s="10">
        <f>IF(ISBLANK(VLOOKUP($B77,برا!$A$2:BE55,31,FALSE)),0,VLOOKUP($B77,برا!$A$2:BE55,31,FALSE))</f>
        <v>0</v>
      </c>
      <c r="AI77" s="10">
        <f>IF(ISBLANK(VLOOKUP($B77,برا!$A$2:BF55,32,FALSE)),0,VLOOKUP($B77,برا!$A$2:BF55,32,FALSE))</f>
        <v>0</v>
      </c>
      <c r="AJ77" s="10">
        <f>IF(ISBLANK(VLOOKUP($B77,برا!$A$2:BG55,33,FALSE)),0,VLOOKUP($B77,برا!$A$2:BG55,33,FALSE))</f>
        <v>0</v>
      </c>
      <c r="AK77" s="10">
        <f>IF(ISBLANK(VLOOKUP($B77,برا!$A$2:BH55,34,FALSE)),0,VLOOKUP($B77,برا!$A$2:BH55,34,FALSE))</f>
        <v>0</v>
      </c>
      <c r="AL77" s="10">
        <f>IF(ISBLANK(VLOOKUP($B77,برا!$A$2:BI55,35,FALSE)),0,VLOOKUP($B77,برا!$A$2:BI55,35,FALSE))</f>
        <v>0</v>
      </c>
      <c r="AM77" s="10">
        <f>IF(ISBLANK(VLOOKUP($B77,برا!$A$2:BJ55,36,FALSE)),0,VLOOKUP($B77,برا!$A$2:BJ55,36,FALSE))</f>
        <v>0</v>
      </c>
      <c r="AN77" s="10" t="str">
        <f t="shared" si="3"/>
        <v/>
      </c>
    </row>
    <row r="78" spans="2:40" ht="79.5" customHeight="1" thickTop="1" thickBot="1">
      <c r="B78" s="10" t="str">
        <f>برا!A27</f>
        <v>إقليم الحرس البحري بالساحل</v>
      </c>
      <c r="C78" s="10" t="str">
        <f>IF(ISBLANK(VLOOKUP($B78,برا!$A$2:AJ56,3,FALSE)),"",VLOOKUP($B78,برا!$A$2:AJ56,3,FALSE))</f>
        <v/>
      </c>
      <c r="D78" s="10" t="str">
        <f>IF(ISBLANK(VLOOKUP($B78,برا!$A$2:AK56,2,FALSE)),"",VLOOKUP($B78,برا!$A$2:AK56,2,FALSE))</f>
        <v/>
      </c>
      <c r="E78" s="10" t="str">
        <f>IF(ISBLANK(VLOOKUP($B78,برا!$A$2:AG56,4,FALSE)),"",VLOOKUP($B78,برا!$A$2:AG56,4,FALSE))</f>
        <v/>
      </c>
      <c r="F78" s="10" t="str">
        <f>IF(ISBLANK(VLOOKUP($B78,برا!$A$2:AG56,5,FALSE)),"",VLOOKUP($B78,برا!$A$2:AG56,5,FALSE))</f>
        <v/>
      </c>
      <c r="G78" s="10" t="str">
        <f>IF(ISBLANK(VLOOKUP($B78,برا!$A$2:AG56,6,FALSE)),"",VLOOKUP($B78,برا!$A$2:AG56,6,FALSE))</f>
        <v/>
      </c>
      <c r="H78" s="10" t="str">
        <f>IF(ISBLANK(VLOOKUP($B78,برا!$A$2:AE56,7,FALSE)),"",VLOOKUP($B78,برا!$A$2:AE56,7,FALSE))</f>
        <v/>
      </c>
      <c r="I78" s="10" t="str">
        <f>IF(ISBLANK(VLOOKUP($B78,برا!$A$2:AF56,8,FALSE)),"",VLOOKUP($B78,برا!$A$2:AF56,8,FALSE))</f>
        <v/>
      </c>
      <c r="J78" s="10" t="str">
        <f>IF(ISBLANK(VLOOKUP($B78,برا!$A$2:AG56,9,FALSE)),"",VLOOKUP($B78,برا!$A$2:AG56,9,FALSE))</f>
        <v/>
      </c>
      <c r="K78" s="10" t="str">
        <f>IF(ISBLANK(VLOOKUP($B78,برا!$A$2:AJ56,10,FALSE)),"",VLOOKUP($B78,برا!$A$2:AJ56,10,FALSE))</f>
        <v/>
      </c>
      <c r="L78" s="10" t="str">
        <f>IF(ISBLANK(VLOOKUP($B78,برا!$A$2:AK56,11,FALSE)),"",VLOOKUP($B78,برا!$A$2:AK56,11,FALSE))</f>
        <v/>
      </c>
      <c r="M78" s="10" t="str">
        <f>IF(ISBLANK(VLOOKUP($B78,برا!$A$2:AK56,12,FALSE)),"",VLOOKUP($B78,برا!$A$2:AK56,12,FALSE))</f>
        <v/>
      </c>
      <c r="N78" s="10" t="str">
        <f>IF(ISBLANK(VLOOKUP($B78,برا!$A$2:AL56,13,FALSE)),"",VLOOKUP($B78,برا!$A$2:AL56,13,FALSE))</f>
        <v/>
      </c>
      <c r="O78" s="10" t="str">
        <f>IF(ISBLANK(VLOOKUP($B78,برا!$A$2:AM56,14,FALSE)),"",VLOOKUP($B78,برا!$A$2:AM56,14,FALSE))</f>
        <v/>
      </c>
      <c r="P78" s="10" t="str">
        <f>IF(ISBLANK(VLOOKUP($B78,برا!$A$2:AN56,15,FALSE)),"",VLOOKUP($B78,برا!$A$2:AN56,15,FALSE))</f>
        <v/>
      </c>
      <c r="Q78" s="10" t="str">
        <f>IF(ISBLANK(VLOOKUP($B78,برا!$A$2:AO56,16,FALSE)),"",VLOOKUP($B78,برا!$A$2:AO56,16,FALSE))</f>
        <v/>
      </c>
      <c r="R78" s="199"/>
      <c r="S78" s="10" t="str">
        <f>IF(ISBLANK(VLOOKUP($B78,برا!$A$2:AQ56,17,FALSE)),"",VLOOKUP($B78,برا!$A$2:AQ56,17,FALSE))</f>
        <v/>
      </c>
      <c r="T78" s="10"/>
      <c r="U78" s="10" t="str">
        <f>IF(ISBLANK(VLOOKUP($B78,برا!$A$2:AS56,18,FALSE)),"",VLOOKUP($B78,برا!$A$2:AS56,18,FALSE))</f>
        <v/>
      </c>
      <c r="V78" s="10" t="str">
        <f>IF(ISBLANK(VLOOKUP($B78,برا!$A$2:AT56,19,FALSE)),"",VLOOKUP($B78,برا!$A$2:AT56,19,FALSE))</f>
        <v/>
      </c>
      <c r="W78" s="10" t="str">
        <f>IF(ISBLANK(VLOOKUP($B78,برا!$A$2:AU56,20,FALSE)),"",VLOOKUP($B78,برا!$A$2:AU56,20,FALSE))</f>
        <v/>
      </c>
      <c r="X78" s="10">
        <f>IF(ISBLANK(VLOOKUP($B78,برا!$A$2:AU56,21,FALSE)),0,VLOOKUP($B78,برا!$A$2:AU56,21,FALSE))</f>
        <v>0</v>
      </c>
      <c r="Y78" s="10">
        <f>IF(ISBLANK(VLOOKUP($B78,برا!$A$2:AV56,22,FALSE)),0,VLOOKUP($B78,برا!$A$2:AV56,22,FALSE))</f>
        <v>0</v>
      </c>
      <c r="Z78" s="10">
        <f>IF(ISBLANK(VLOOKUP($B78,برا!$A$2:AW56,23,FALSE)),0,VLOOKUP($B78,برا!$A$2:AW56,23,FALSE))</f>
        <v>0</v>
      </c>
      <c r="AA78" s="10">
        <f>IF(ISBLANK(VLOOKUP($B78,برا!$A$2:AX56,24,FALSE)),0,VLOOKUP($B78,برا!$A$2:AX56,24,FALSE))</f>
        <v>0</v>
      </c>
      <c r="AB78" s="10">
        <f>IF(ISBLANK(VLOOKUP($B78,برا!$A$2:AY56,25,FALSE)),0,VLOOKUP($B78,برا!$A$2:AY56,25,FALSE))</f>
        <v>0</v>
      </c>
      <c r="AC78" s="10">
        <f>IF(ISBLANK(VLOOKUP($B78,برا!$A$2:AZ56,26,FALSE)),0,VLOOKUP($B78,برا!$A$2:AZ56,26,FALSE))</f>
        <v>0</v>
      </c>
      <c r="AD78" s="10">
        <f>IF(ISBLANK(VLOOKUP($B78,برا!$A$2:BA56,27,FALSE)),0,VLOOKUP($B78,برا!$A$2:BA56,27,FALSE))</f>
        <v>0</v>
      </c>
      <c r="AE78" s="10">
        <f>IF(ISBLANK(VLOOKUP($B78,برا!$A$2:BB56,28,FALSE)),0,VLOOKUP($B78,برا!$A$2:BB56,28,FALSE))</f>
        <v>0</v>
      </c>
      <c r="AF78" s="10">
        <f>IF(ISBLANK(VLOOKUP($B78,برا!$A$2:BC56,29,FALSE)),0,VLOOKUP($B78,برا!$A$2:BC56,29,FALSE))</f>
        <v>0</v>
      </c>
      <c r="AG78" s="10">
        <f>IF(ISBLANK(VLOOKUP($B78,برا!$A$2:BD56,30,FALSE)),0,VLOOKUP($B78,برا!$A$2:BD56,30,FALSE))</f>
        <v>0</v>
      </c>
      <c r="AH78" s="10">
        <f>IF(ISBLANK(VLOOKUP($B78,برا!$A$2:BE56,31,FALSE)),0,VLOOKUP($B78,برا!$A$2:BE56,31,FALSE))</f>
        <v>0</v>
      </c>
      <c r="AI78" s="10">
        <f>IF(ISBLANK(VLOOKUP($B78,برا!$A$2:BF56,32,FALSE)),0,VLOOKUP($B78,برا!$A$2:BF56,32,FALSE))</f>
        <v>0</v>
      </c>
      <c r="AJ78" s="10">
        <f>IF(ISBLANK(VLOOKUP($B78,برا!$A$2:BG56,33,FALSE)),0,VLOOKUP($B78,برا!$A$2:BG56,33,FALSE))</f>
        <v>0</v>
      </c>
      <c r="AK78" s="10">
        <f>IF(ISBLANK(VLOOKUP($B78,برا!$A$2:BH56,34,FALSE)),0,VLOOKUP($B78,برا!$A$2:BH56,34,FALSE))</f>
        <v>0</v>
      </c>
      <c r="AL78" s="10">
        <f>IF(ISBLANK(VLOOKUP($B78,برا!$A$2:BI56,35,FALSE)),0,VLOOKUP($B78,برا!$A$2:BI56,35,FALSE))</f>
        <v>0</v>
      </c>
      <c r="AM78" s="10">
        <f>IF(ISBLANK(VLOOKUP($B78,برا!$A$2:BJ56,36,FALSE)),0,VLOOKUP($B78,برا!$A$2:BJ56,36,FALSE))</f>
        <v>0</v>
      </c>
      <c r="AN78" s="10" t="str">
        <f t="shared" si="3"/>
        <v/>
      </c>
    </row>
    <row r="79" spans="2:40" ht="64.5" customHeight="1" thickTop="1" thickBot="1">
      <c r="B79" s="10" t="str">
        <f>برا!A28</f>
        <v>إقليم الحرس البحري بالجنوب</v>
      </c>
      <c r="C79" s="10" t="str">
        <f>IF(ISBLANK(VLOOKUP($B79,برا!$A$2:AJ57,3,FALSE)),"",VLOOKUP($B79,برا!$A$2:AJ57,3,FALSE))</f>
        <v/>
      </c>
      <c r="D79" s="10" t="str">
        <f>IF(ISBLANK(VLOOKUP($B79,برا!$A$2:AK57,2,FALSE)),"",VLOOKUP($B79,برا!$A$2:AK57,2,FALSE))</f>
        <v/>
      </c>
      <c r="E79" s="10" t="str">
        <f>IF(ISBLANK(VLOOKUP($B79,برا!$A$2:AG57,4,FALSE)),"",VLOOKUP($B79,برا!$A$2:AG57,4,FALSE))</f>
        <v/>
      </c>
      <c r="F79" s="10" t="str">
        <f>IF(ISBLANK(VLOOKUP($B79,برا!$A$2:AG57,5,FALSE)),"",VLOOKUP($B79,برا!$A$2:AG57,5,FALSE))</f>
        <v/>
      </c>
      <c r="G79" s="10" t="str">
        <f>IF(ISBLANK(VLOOKUP($B79,برا!$A$2:AG57,6,FALSE)),"",VLOOKUP($B79,برا!$A$2:AG57,6,FALSE))</f>
        <v/>
      </c>
      <c r="H79" s="10" t="str">
        <f>IF(ISBLANK(VLOOKUP($B79,برا!$A$2:AE57,7,FALSE)),"",VLOOKUP($B79,برا!$A$2:AE57,7,FALSE))</f>
        <v/>
      </c>
      <c r="I79" s="10" t="str">
        <f>IF(ISBLANK(VLOOKUP($B79,برا!$A$2:AF57,8,FALSE)),"",VLOOKUP($B79,برا!$A$2:AF57,8,FALSE))</f>
        <v/>
      </c>
      <c r="J79" s="10" t="str">
        <f>IF(ISBLANK(VLOOKUP($B79,برا!$A$2:AG57,9,FALSE)),"",VLOOKUP($B79,برا!$A$2:AG57,9,FALSE))</f>
        <v/>
      </c>
      <c r="K79" s="10" t="str">
        <f>IF(ISBLANK(VLOOKUP($B79,برا!$A$2:AJ57,10,FALSE)),"",VLOOKUP($B79,برا!$A$2:AJ57,10,FALSE))</f>
        <v/>
      </c>
      <c r="L79" s="10" t="str">
        <f>IF(ISBLANK(VLOOKUP($B79,برا!$A$2:AK57,11,FALSE)),"",VLOOKUP($B79,برا!$A$2:AK57,11,FALSE))</f>
        <v/>
      </c>
      <c r="M79" s="10" t="str">
        <f>IF(ISBLANK(VLOOKUP($B79,برا!$A$2:AK57,12,FALSE)),"",VLOOKUP($B79,برا!$A$2:AK57,12,FALSE))</f>
        <v/>
      </c>
      <c r="N79" s="10" t="str">
        <f>IF(ISBLANK(VLOOKUP($B79,برا!$A$2:AL57,13,FALSE)),"",VLOOKUP($B79,برا!$A$2:AL57,13,FALSE))</f>
        <v/>
      </c>
      <c r="O79" s="10" t="str">
        <f>IF(ISBLANK(VLOOKUP($B79,برا!$A$2:AM57,14,FALSE)),"",VLOOKUP($B79,برا!$A$2:AM57,14,FALSE))</f>
        <v/>
      </c>
      <c r="P79" s="10" t="str">
        <f>IF(ISBLANK(VLOOKUP($B79,برا!$A$2:AN57,15,FALSE)),"",VLOOKUP($B79,برا!$A$2:AN57,15,FALSE))</f>
        <v/>
      </c>
      <c r="Q79" s="10" t="str">
        <f>IF(ISBLANK(VLOOKUP($B79,برا!$A$2:AO57,16,FALSE)),"",VLOOKUP($B79,برا!$A$2:AO57,16,FALSE))</f>
        <v/>
      </c>
      <c r="R79" s="199"/>
      <c r="S79" s="10" t="str">
        <f>IF(ISBLANK(VLOOKUP($B79,برا!$A$2:AQ57,17,FALSE)),"",VLOOKUP($B79,برا!$A$2:AQ57,17,FALSE))</f>
        <v/>
      </c>
      <c r="T79" s="10"/>
      <c r="U79" s="10" t="str">
        <f>IF(ISBLANK(VLOOKUP($B79,برا!$A$2:AS57,18,FALSE)),"",VLOOKUP($B79,برا!$A$2:AS57,18,FALSE))</f>
        <v/>
      </c>
      <c r="V79" s="10" t="str">
        <f>IF(ISBLANK(VLOOKUP($B79,برا!$A$2:AT57,19,FALSE)),"",VLOOKUP($B79,برا!$A$2:AT57,19,FALSE))</f>
        <v/>
      </c>
      <c r="W79" s="10" t="str">
        <f>IF(ISBLANK(VLOOKUP($B79,برا!$A$2:AU57,20,FALSE)),"",VLOOKUP($B79,برا!$A$2:AU57,20,FALSE))</f>
        <v/>
      </c>
      <c r="X79" s="10">
        <f>IF(ISBLANK(VLOOKUP($B79,برا!$A$2:AU57,21,FALSE)),0,VLOOKUP($B79,برا!$A$2:AU57,21,FALSE))</f>
        <v>0</v>
      </c>
      <c r="Y79" s="10">
        <f>IF(ISBLANK(VLOOKUP($B79,برا!$A$2:AV57,22,FALSE)),0,VLOOKUP($B79,برا!$A$2:AV57,22,FALSE))</f>
        <v>0</v>
      </c>
      <c r="Z79" s="10">
        <f>IF(ISBLANK(VLOOKUP($B79,برا!$A$2:AW57,23,FALSE)),0,VLOOKUP($B79,برا!$A$2:AW57,23,FALSE))</f>
        <v>0</v>
      </c>
      <c r="AA79" s="10">
        <f>IF(ISBLANK(VLOOKUP($B79,برا!$A$2:AX57,24,FALSE)),0,VLOOKUP($B79,برا!$A$2:AX57,24,FALSE))</f>
        <v>0</v>
      </c>
      <c r="AB79" s="10">
        <f>IF(ISBLANK(VLOOKUP($B79,برا!$A$2:AY57,25,FALSE)),0,VLOOKUP($B79,برا!$A$2:AY57,25,FALSE))</f>
        <v>0</v>
      </c>
      <c r="AC79" s="10">
        <f>IF(ISBLANK(VLOOKUP($B79,برا!$A$2:AZ57,26,FALSE)),0,VLOOKUP($B79,برا!$A$2:AZ57,26,FALSE))</f>
        <v>0</v>
      </c>
      <c r="AD79" s="10">
        <f>IF(ISBLANK(VLOOKUP($B79,برا!$A$2:BA57,27,FALSE)),0,VLOOKUP($B79,برا!$A$2:BA57,27,FALSE))</f>
        <v>0</v>
      </c>
      <c r="AE79" s="10">
        <f>IF(ISBLANK(VLOOKUP($B79,برا!$A$2:BB57,28,FALSE)),0,VLOOKUP($B79,برا!$A$2:BB57,28,FALSE))</f>
        <v>0</v>
      </c>
      <c r="AF79" s="10">
        <f>IF(ISBLANK(VLOOKUP($B79,برا!$A$2:BC57,29,FALSE)),0,VLOOKUP($B79,برا!$A$2:BC57,29,FALSE))</f>
        <v>0</v>
      </c>
      <c r="AG79" s="10">
        <f>IF(ISBLANK(VLOOKUP($B79,برا!$A$2:BD57,30,FALSE)),0,VLOOKUP($B79,برا!$A$2:BD57,30,FALSE))</f>
        <v>0</v>
      </c>
      <c r="AH79" s="10">
        <f>IF(ISBLANK(VLOOKUP($B79,برا!$A$2:BE57,31,FALSE)),0,VLOOKUP($B79,برا!$A$2:BE57,31,FALSE))</f>
        <v>0</v>
      </c>
      <c r="AI79" s="10">
        <f>IF(ISBLANK(VLOOKUP($B79,برا!$A$2:BF57,32,FALSE)),0,VLOOKUP($B79,برا!$A$2:BF57,32,FALSE))</f>
        <v>0</v>
      </c>
      <c r="AJ79" s="10">
        <f>IF(ISBLANK(VLOOKUP($B79,برا!$A$2:BG57,33,FALSE)),0,VLOOKUP($B79,برا!$A$2:BG57,33,FALSE))</f>
        <v>0</v>
      </c>
      <c r="AK79" s="10">
        <f>IF(ISBLANK(VLOOKUP($B79,برا!$A$2:BH57,34,FALSE)),0,VLOOKUP($B79,برا!$A$2:BH57,34,FALSE))</f>
        <v>0</v>
      </c>
      <c r="AL79" s="10">
        <f>IF(ISBLANK(VLOOKUP($B79,برا!$A$2:BI57,35,FALSE)),0,VLOOKUP($B79,برا!$A$2:BI57,35,FALSE))</f>
        <v>0</v>
      </c>
      <c r="AM79" s="10">
        <f>IF(ISBLANK(VLOOKUP($B79,برا!$A$2:BJ57,36,FALSE)),0,VLOOKUP($B79,برا!$A$2:BJ57,36,FALSE))</f>
        <v>0</v>
      </c>
      <c r="AN79" s="10" t="str">
        <f t="shared" si="3"/>
        <v/>
      </c>
    </row>
    <row r="80" spans="2:40" ht="48" customHeight="1" thickTop="1" thickBot="1">
      <c r="B80" s="10" t="str">
        <f>برا!A29</f>
        <v>أريانة</v>
      </c>
      <c r="C80" s="10" t="str">
        <f>IF(ISBLANK(VLOOKUP($B80,برا!$A$2:AJ58,3,FALSE)),"",VLOOKUP($B80,برا!$A$2:AJ58,3,FALSE))</f>
        <v/>
      </c>
      <c r="D80" s="10" t="str">
        <f>IF(ISBLANK(VLOOKUP($B80,برا!$A$2:AK58,2,FALSE)),"",VLOOKUP($B80,برا!$A$2:AK58,2,FALSE))</f>
        <v/>
      </c>
      <c r="E80" s="10" t="str">
        <f>IF(ISBLANK(VLOOKUP($B80,برا!$A$2:AG58,4,FALSE)),"",VLOOKUP($B80,برا!$A$2:AG58,4,FALSE))</f>
        <v/>
      </c>
      <c r="F80" s="10" t="str">
        <f>IF(ISBLANK(VLOOKUP($B80,برا!$A$2:AG58,5,FALSE)),"",VLOOKUP($B80,برا!$A$2:AG58,5,FALSE))</f>
        <v/>
      </c>
      <c r="G80" s="10" t="str">
        <f>IF(ISBLANK(VLOOKUP($B80,برا!$A$2:AG58,6,FALSE)),"",VLOOKUP($B80,برا!$A$2:AG58,6,FALSE))</f>
        <v/>
      </c>
      <c r="H80" s="10" t="str">
        <f>IF(ISBLANK(VLOOKUP($B80,برا!$A$2:AE58,7,FALSE)),"",VLOOKUP($B80,برا!$A$2:AE58,7,FALSE))</f>
        <v/>
      </c>
      <c r="I80" s="10" t="str">
        <f>IF(ISBLANK(VLOOKUP($B80,برا!$A$2:AF58,8,FALSE)),"",VLOOKUP($B80,برا!$A$2:AF58,8,FALSE))</f>
        <v/>
      </c>
      <c r="J80" s="10" t="str">
        <f>IF(ISBLANK(VLOOKUP($B80,برا!$A$2:AG58,9,FALSE)),"",VLOOKUP($B80,برا!$A$2:AG58,9,FALSE))</f>
        <v/>
      </c>
      <c r="K80" s="10" t="str">
        <f>IF(ISBLANK(VLOOKUP($B80,برا!$A$2:AJ58,10,FALSE)),"",VLOOKUP($B80,برا!$A$2:AJ58,10,FALSE))</f>
        <v/>
      </c>
      <c r="L80" s="10" t="str">
        <f>IF(ISBLANK(VLOOKUP($B80,برا!$A$2:AK58,11,FALSE)),"",VLOOKUP($B80,برا!$A$2:AK58,11,FALSE))</f>
        <v/>
      </c>
      <c r="M80" s="10" t="str">
        <f>IF(ISBLANK(VLOOKUP($B80,برا!$A$2:AK58,12,FALSE)),"",VLOOKUP($B80,برا!$A$2:AK58,12,FALSE))</f>
        <v/>
      </c>
      <c r="N80" s="10" t="str">
        <f>IF(ISBLANK(VLOOKUP($B80,برا!$A$2:AL58,13,FALSE)),"",VLOOKUP($B80,برا!$A$2:AL58,13,FALSE))</f>
        <v/>
      </c>
      <c r="O80" s="10" t="str">
        <f>IF(ISBLANK(VLOOKUP($B80,برا!$A$2:AM58,14,FALSE)),"",VLOOKUP($B80,برا!$A$2:AM58,14,FALSE))</f>
        <v/>
      </c>
      <c r="P80" s="10" t="str">
        <f>IF(ISBLANK(VLOOKUP($B80,برا!$A$2:AN58,15,FALSE)),"",VLOOKUP($B80,برا!$A$2:AN58,15,FALSE))</f>
        <v/>
      </c>
      <c r="Q80" s="10" t="str">
        <f>IF(ISBLANK(VLOOKUP($B80,برا!$A$2:AO58,16,FALSE)),"",VLOOKUP($B80,برا!$A$2:AO58,16,FALSE))</f>
        <v/>
      </c>
      <c r="R80" s="199"/>
      <c r="S80" s="10" t="str">
        <f>IF(ISBLANK(VLOOKUP($B80,برا!$A$2:AQ58,17,FALSE)),"",VLOOKUP($B80,برا!$A$2:AQ58,17,FALSE))</f>
        <v/>
      </c>
      <c r="T80" s="10"/>
      <c r="U80" s="10" t="str">
        <f>IF(ISBLANK(VLOOKUP($B80,برا!$A$2:AS58,18,FALSE)),"",VLOOKUP($B80,برا!$A$2:AS58,18,FALSE))</f>
        <v/>
      </c>
      <c r="V80" s="10" t="str">
        <f>IF(ISBLANK(VLOOKUP($B80,برا!$A$2:AT58,19,FALSE)),"",VLOOKUP($B80,برا!$A$2:AT58,19,FALSE))</f>
        <v/>
      </c>
      <c r="W80" s="10" t="str">
        <f>IF(ISBLANK(VLOOKUP($B80,برا!$A$2:AU58,20,FALSE)),"",VLOOKUP($B80,برا!$A$2:AU58,20,FALSE))</f>
        <v/>
      </c>
      <c r="X80" s="10">
        <f>IF(ISBLANK(VLOOKUP($B80,برا!$A$2:AU58,21,FALSE)),0,VLOOKUP($B80,برا!$A$2:AU58,21,FALSE))</f>
        <v>0</v>
      </c>
      <c r="Y80" s="10">
        <f>IF(ISBLANK(VLOOKUP($B80,برا!$A$2:AV58,22,FALSE)),0,VLOOKUP($B80,برا!$A$2:AV58,22,FALSE))</f>
        <v>0</v>
      </c>
      <c r="Z80" s="10">
        <f>IF(ISBLANK(VLOOKUP($B80,برا!$A$2:AW58,23,FALSE)),0,VLOOKUP($B80,برا!$A$2:AW58,23,FALSE))</f>
        <v>0</v>
      </c>
      <c r="AA80" s="10">
        <f>IF(ISBLANK(VLOOKUP($B80,برا!$A$2:AX58,24,FALSE)),0,VLOOKUP($B80,برا!$A$2:AX58,24,FALSE))</f>
        <v>0</v>
      </c>
      <c r="AB80" s="10">
        <f>IF(ISBLANK(VLOOKUP($B80,برا!$A$2:AY58,25,FALSE)),0,VLOOKUP($B80,برا!$A$2:AY58,25,FALSE))</f>
        <v>0</v>
      </c>
      <c r="AC80" s="10">
        <f>IF(ISBLANK(VLOOKUP($B80,برا!$A$2:AZ58,26,FALSE)),0,VLOOKUP($B80,برا!$A$2:AZ58,26,FALSE))</f>
        <v>0</v>
      </c>
      <c r="AD80" s="10">
        <f>IF(ISBLANK(VLOOKUP($B80,برا!$A$2:BA58,27,FALSE)),0,VLOOKUP($B80,برا!$A$2:BA58,27,FALSE))</f>
        <v>0</v>
      </c>
      <c r="AE80" s="10">
        <f>IF(ISBLANK(VLOOKUP($B80,برا!$A$2:BB58,28,FALSE)),0,VLOOKUP($B80,برا!$A$2:BB58,28,FALSE))</f>
        <v>0</v>
      </c>
      <c r="AF80" s="10">
        <f>IF(ISBLANK(VLOOKUP($B80,برا!$A$2:BC58,29,FALSE)),0,VLOOKUP($B80,برا!$A$2:BC58,29,FALSE))</f>
        <v>0</v>
      </c>
      <c r="AG80" s="10">
        <f>IF(ISBLANK(VLOOKUP($B80,برا!$A$2:BD58,30,FALSE)),0,VLOOKUP($B80,برا!$A$2:BD58,30,FALSE))</f>
        <v>0</v>
      </c>
      <c r="AH80" s="10">
        <f>IF(ISBLANK(VLOOKUP($B80,برا!$A$2:BE58,31,FALSE)),0,VLOOKUP($B80,برا!$A$2:BE58,31,FALSE))</f>
        <v>0</v>
      </c>
      <c r="AI80" s="10">
        <f>IF(ISBLANK(VLOOKUP($B80,برا!$A$2:BF58,32,FALSE)),0,VLOOKUP($B80,برا!$A$2:BF58,32,FALSE))</f>
        <v>0</v>
      </c>
      <c r="AJ80" s="10">
        <f>IF(ISBLANK(VLOOKUP($B80,برا!$A$2:BG58,33,FALSE)),0,VLOOKUP($B80,برا!$A$2:BG58,33,FALSE))</f>
        <v>0</v>
      </c>
      <c r="AK80" s="10">
        <f>IF(ISBLANK(VLOOKUP($B80,برا!$A$2:BH58,34,FALSE)),0,VLOOKUP($B80,برا!$A$2:BH58,34,FALSE))</f>
        <v>0</v>
      </c>
      <c r="AL80" s="10">
        <f>IF(ISBLANK(VLOOKUP($B80,برا!$A$2:BI58,35,FALSE)),0,VLOOKUP($B80,برا!$A$2:BI58,35,FALSE))</f>
        <v>0</v>
      </c>
      <c r="AM80" s="10">
        <f>IF(ISBLANK(VLOOKUP($B80,برا!$A$2:BJ58,36,FALSE)),0,VLOOKUP($B80,برا!$A$2:BJ58,36,FALSE))</f>
        <v>0</v>
      </c>
      <c r="AN80" s="10" t="str">
        <f t="shared" si="3"/>
        <v/>
      </c>
    </row>
    <row r="81" spans="2:40" ht="48" customHeight="1" thickTop="1" thickBot="1">
      <c r="B81" s="10" t="str">
        <f>برا!A30</f>
        <v>إدارة حرس المرور</v>
      </c>
      <c r="C81" s="10" t="str">
        <f>IF(ISBLANK(VLOOKUP($B81,برا!$A$2:AJ59,3,FALSE)),"",VLOOKUP($B81,برا!$A$2:AJ59,3,FALSE))</f>
        <v/>
      </c>
      <c r="D81" s="10" t="str">
        <f>IF(ISBLANK(VLOOKUP($B81,برا!$A$2:AK59,2,FALSE)),"",VLOOKUP($B81,برا!$A$2:AK59,2,FALSE))</f>
        <v/>
      </c>
      <c r="E81" s="10" t="str">
        <f>IF(ISBLANK(VLOOKUP($B81,برا!$A$2:AG59,4,FALSE)),"",VLOOKUP($B81,برا!$A$2:AG59,4,FALSE))</f>
        <v/>
      </c>
      <c r="F81" s="10" t="str">
        <f>IF(ISBLANK(VLOOKUP($B81,برا!$A$2:AG59,5,FALSE)),"",VLOOKUP($B81,برا!$A$2:AG59,5,FALSE))</f>
        <v/>
      </c>
      <c r="G81" s="10" t="str">
        <f>IF(ISBLANK(VLOOKUP($B81,برا!$A$2:AG59,6,FALSE)),"",VLOOKUP($B81,برا!$A$2:AG59,6,FALSE))</f>
        <v/>
      </c>
      <c r="H81" s="10" t="str">
        <f>IF(ISBLANK(VLOOKUP($B81,برا!$A$2:AE59,7,FALSE)),"",VLOOKUP($B81,برا!$A$2:AE59,7,FALSE))</f>
        <v/>
      </c>
      <c r="I81" s="10" t="str">
        <f>IF(ISBLANK(VLOOKUP($B81,برا!$A$2:AF59,8,FALSE)),"",VLOOKUP($B81,برا!$A$2:AF59,8,FALSE))</f>
        <v/>
      </c>
      <c r="J81" s="10" t="str">
        <f>IF(ISBLANK(VLOOKUP($B81,برا!$A$2:AG59,9,FALSE)),"",VLOOKUP($B81,برا!$A$2:AG59,9,FALSE))</f>
        <v/>
      </c>
      <c r="K81" s="10" t="str">
        <f>IF(ISBLANK(VLOOKUP($B81,برا!$A$2:AJ59,10,FALSE)),"",VLOOKUP($B81,برا!$A$2:AJ59,10,FALSE))</f>
        <v/>
      </c>
      <c r="L81" s="10" t="str">
        <f>IF(ISBLANK(VLOOKUP($B81,برا!$A$2:AK59,11,FALSE)),"",VLOOKUP($B81,برا!$A$2:AK59,11,FALSE))</f>
        <v/>
      </c>
      <c r="M81" s="10" t="str">
        <f>IF(ISBLANK(VLOOKUP($B81,برا!$A$2:AK59,12,FALSE)),"",VLOOKUP($B81,برا!$A$2:AK59,12,FALSE))</f>
        <v/>
      </c>
      <c r="N81" s="10" t="str">
        <f>IF(ISBLANK(VLOOKUP($B81,برا!$A$2:AL59,13,FALSE)),"",VLOOKUP($B81,برا!$A$2:AL59,13,FALSE))</f>
        <v/>
      </c>
      <c r="O81" s="10" t="str">
        <f>IF(ISBLANK(VLOOKUP($B81,برا!$A$2:AM59,14,FALSE)),"",VLOOKUP($B81,برا!$A$2:AM59,14,FALSE))</f>
        <v/>
      </c>
      <c r="P81" s="10" t="str">
        <f>IF(ISBLANK(VLOOKUP($B81,برا!$A$2:AN59,15,FALSE)),"",VLOOKUP($B81,برا!$A$2:AN59,15,FALSE))</f>
        <v/>
      </c>
      <c r="Q81" s="10" t="str">
        <f>IF(ISBLANK(VLOOKUP($B81,برا!$A$2:AO59,16,FALSE)),"",VLOOKUP($B81,برا!$A$2:AO59,16,FALSE))</f>
        <v/>
      </c>
      <c r="R81" s="199"/>
      <c r="S81" s="10" t="str">
        <f>IF(ISBLANK(VLOOKUP($B81,برا!$A$2:AQ59,17,FALSE)),"",VLOOKUP($B81,برا!$A$2:AQ59,17,FALSE))</f>
        <v/>
      </c>
      <c r="T81" s="10"/>
      <c r="U81" s="10" t="str">
        <f>IF(ISBLANK(VLOOKUP($B81,برا!$A$2:AS59,18,FALSE)),"",VLOOKUP($B81,برا!$A$2:AS59,18,FALSE))</f>
        <v/>
      </c>
      <c r="V81" s="10" t="str">
        <f>IF(ISBLANK(VLOOKUP($B81,برا!$A$2:AT59,19,FALSE)),"",VLOOKUP($B81,برا!$A$2:AT59,19,FALSE))</f>
        <v/>
      </c>
      <c r="W81" s="10" t="str">
        <f>IF(ISBLANK(VLOOKUP($B81,برا!$A$2:AU59,20,FALSE)),"",VLOOKUP($B81,برا!$A$2:AU59,20,FALSE))</f>
        <v/>
      </c>
      <c r="X81" s="10">
        <f>IF(ISBLANK(VLOOKUP($B81,برا!$A$2:AU59,21,FALSE)),0,VLOOKUP($B81,برا!$A$2:AU59,21,FALSE))</f>
        <v>0</v>
      </c>
      <c r="Y81" s="10">
        <f>IF(ISBLANK(VLOOKUP($B81,برا!$A$2:AV59,22,FALSE)),0,VLOOKUP($B81,برا!$A$2:AV59,22,FALSE))</f>
        <v>0</v>
      </c>
      <c r="Z81" s="10">
        <f>IF(ISBLANK(VLOOKUP($B81,برا!$A$2:AW59,23,FALSE)),0,VLOOKUP($B81,برا!$A$2:AW59,23,FALSE))</f>
        <v>0</v>
      </c>
      <c r="AA81" s="10">
        <f>IF(ISBLANK(VLOOKUP($B81,برا!$A$2:AX59,24,FALSE)),0,VLOOKUP($B81,برا!$A$2:AX59,24,FALSE))</f>
        <v>0</v>
      </c>
      <c r="AB81" s="10">
        <f>IF(ISBLANK(VLOOKUP($B81,برا!$A$2:AY59,25,FALSE)),0,VLOOKUP($B81,برا!$A$2:AY59,25,FALSE))</f>
        <v>0</v>
      </c>
      <c r="AC81" s="10">
        <f>IF(ISBLANK(VLOOKUP($B81,برا!$A$2:AZ59,26,FALSE)),0,VLOOKUP($B81,برا!$A$2:AZ59,26,FALSE))</f>
        <v>0</v>
      </c>
      <c r="AD81" s="10">
        <f>IF(ISBLANK(VLOOKUP($B81,برا!$A$2:BA59,27,FALSE)),0,VLOOKUP($B81,برا!$A$2:BA59,27,FALSE))</f>
        <v>0</v>
      </c>
      <c r="AE81" s="10">
        <f>IF(ISBLANK(VLOOKUP($B81,برا!$A$2:BB59,28,FALSE)),0,VLOOKUP($B81,برا!$A$2:BB59,28,FALSE))</f>
        <v>0</v>
      </c>
      <c r="AF81" s="10">
        <f>IF(ISBLANK(VLOOKUP($B81,برا!$A$2:BC59,29,FALSE)),0,VLOOKUP($B81,برا!$A$2:BC59,29,FALSE))</f>
        <v>0</v>
      </c>
      <c r="AG81" s="10">
        <f>IF(ISBLANK(VLOOKUP($B81,برا!$A$2:BD59,30,FALSE)),0,VLOOKUP($B81,برا!$A$2:BD59,30,FALSE))</f>
        <v>0</v>
      </c>
      <c r="AH81" s="10">
        <f>IF(ISBLANK(VLOOKUP($B81,برا!$A$2:BE59,31,FALSE)),0,VLOOKUP($B81,برا!$A$2:BE59,31,FALSE))</f>
        <v>0</v>
      </c>
      <c r="AI81" s="10">
        <f>IF(ISBLANK(VLOOKUP($B81,برا!$A$2:BF59,32,FALSE)),0,VLOOKUP($B81,برا!$A$2:BF59,32,FALSE))</f>
        <v>0</v>
      </c>
      <c r="AJ81" s="10">
        <f>IF(ISBLANK(VLOOKUP($B81,برا!$A$2:BG59,33,FALSE)),0,VLOOKUP($B81,برا!$A$2:BG59,33,FALSE))</f>
        <v>0</v>
      </c>
      <c r="AK81" s="10">
        <f>IF(ISBLANK(VLOOKUP($B81,برا!$A$2:BH59,34,FALSE)),0,VLOOKUP($B81,برا!$A$2:BH59,34,FALSE))</f>
        <v>0</v>
      </c>
      <c r="AL81" s="10">
        <f>IF(ISBLANK(VLOOKUP($B81,برا!$A$2:BI59,35,FALSE)),0,VLOOKUP($B81,برا!$A$2:BI59,35,FALSE))</f>
        <v>0</v>
      </c>
      <c r="AM81" s="10">
        <f>IF(ISBLANK(VLOOKUP($B81,برا!$A$2:BJ59,36,FALSE)),0,VLOOKUP($B81,برا!$A$2:BJ59,36,FALSE))</f>
        <v>0</v>
      </c>
      <c r="AN81" s="10" t="str">
        <f t="shared" si="3"/>
        <v/>
      </c>
    </row>
    <row r="82" spans="2:40" ht="35.25" thickTop="1" thickBot="1">
      <c r="B82" s="10" t="str">
        <f>برا!A31</f>
        <v>إدارة الشؤون العدلية</v>
      </c>
      <c r="C82" s="10" t="str">
        <f>IF(ISBLANK(VLOOKUP($B82,برا!$A$2:AJ60,3,FALSE)),"",VLOOKUP($B82,برا!$A$2:AJ60,3,FALSE))</f>
        <v/>
      </c>
      <c r="D82" s="10" t="str">
        <f>IF(ISBLANK(VLOOKUP($B82,برا!$A$2:AK60,2,FALSE)),"",VLOOKUP($B82,برا!$A$2:AK60,2,FALSE))</f>
        <v/>
      </c>
      <c r="E82" s="10" t="str">
        <f>IF(ISBLANK(VLOOKUP($B82,برا!$A$2:AG60,4,FALSE)),"",VLOOKUP($B82,برا!$A$2:AG60,4,FALSE))</f>
        <v/>
      </c>
      <c r="F82" s="10" t="str">
        <f>IF(ISBLANK(VLOOKUP($B82,برا!$A$2:AG60,5,FALSE)),"",VLOOKUP($B82,برا!$A$2:AG60,5,FALSE))</f>
        <v/>
      </c>
      <c r="G82" s="10" t="str">
        <f>IF(ISBLANK(VLOOKUP($B82,برا!$A$2:AG60,6,FALSE)),"",VLOOKUP($B82,برا!$A$2:AG60,6,FALSE))</f>
        <v/>
      </c>
      <c r="H82" s="10" t="str">
        <f>IF(ISBLANK(VLOOKUP($B82,برا!$A$2:AE60,7,FALSE)),"",VLOOKUP($B82,برا!$A$2:AE60,7,FALSE))</f>
        <v/>
      </c>
      <c r="I82" s="10" t="str">
        <f>IF(ISBLANK(VLOOKUP($B82,برا!$A$2:AF60,8,FALSE)),"",VLOOKUP($B82,برا!$A$2:AF60,8,FALSE))</f>
        <v/>
      </c>
      <c r="J82" s="10" t="str">
        <f>IF(ISBLANK(VLOOKUP($B82,برا!$A$2:AG60,9,FALSE)),"",VLOOKUP($B82,برا!$A$2:AG60,9,FALSE))</f>
        <v/>
      </c>
      <c r="K82" s="10" t="str">
        <f>IF(ISBLANK(VLOOKUP($B82,برا!$A$2:AJ60,10,FALSE)),"",VLOOKUP($B82,برا!$A$2:AJ60,10,FALSE))</f>
        <v/>
      </c>
      <c r="L82" s="10" t="str">
        <f>IF(ISBLANK(VLOOKUP($B82,برا!$A$2:AK60,11,FALSE)),"",VLOOKUP($B82,برا!$A$2:AK60,11,FALSE))</f>
        <v/>
      </c>
      <c r="M82" s="10" t="str">
        <f>IF(ISBLANK(VLOOKUP($B82,برا!$A$2:AK60,12,FALSE)),"",VLOOKUP($B82,برا!$A$2:AK60,12,FALSE))</f>
        <v/>
      </c>
      <c r="N82" s="10" t="str">
        <f>IF(ISBLANK(VLOOKUP($B82,برا!$A$2:AL60,13,FALSE)),"",VLOOKUP($B82,برا!$A$2:AL60,13,FALSE))</f>
        <v/>
      </c>
      <c r="O82" s="10" t="str">
        <f>IF(ISBLANK(VLOOKUP($B82,برا!$A$2:AM60,14,FALSE)),"",VLOOKUP($B82,برا!$A$2:AM60,14,FALSE))</f>
        <v/>
      </c>
      <c r="P82" s="10" t="str">
        <f>IF(ISBLANK(VLOOKUP($B82,برا!$A$2:AN60,15,FALSE)),"",VLOOKUP($B82,برا!$A$2:AN60,15,FALSE))</f>
        <v/>
      </c>
      <c r="Q82" s="10" t="str">
        <f>IF(ISBLANK(VLOOKUP($B82,برا!$A$2:AO60,16,FALSE)),"",VLOOKUP($B82,برا!$A$2:AO60,16,FALSE))</f>
        <v/>
      </c>
      <c r="R82" s="199"/>
      <c r="S82" s="10" t="str">
        <f>IF(ISBLANK(VLOOKUP($B82,برا!$A$2:AQ60,17,FALSE)),"",VLOOKUP($B82,برا!$A$2:AQ60,17,FALSE))</f>
        <v/>
      </c>
      <c r="T82" s="10"/>
      <c r="U82" s="10" t="str">
        <f>IF(ISBLANK(VLOOKUP($B82,برا!$A$2:AS60,18,FALSE)),"",VLOOKUP($B82,برا!$A$2:AS60,18,FALSE))</f>
        <v/>
      </c>
      <c r="V82" s="10" t="str">
        <f>IF(ISBLANK(VLOOKUP($B82,برا!$A$2:AT60,19,FALSE)),"",VLOOKUP($B82,برا!$A$2:AT60,19,FALSE))</f>
        <v/>
      </c>
      <c r="W82" s="10" t="str">
        <f>IF(ISBLANK(VLOOKUP($B82,برا!$A$2:AU60,20,FALSE)),"",VLOOKUP($B82,برا!$A$2:AU60,20,FALSE))</f>
        <v/>
      </c>
      <c r="X82" s="10">
        <f>IF(ISBLANK(VLOOKUP($B82,برا!$A$2:AU60,21,FALSE)),0,VLOOKUP($B82,برا!$A$2:AU60,21,FALSE))</f>
        <v>0</v>
      </c>
      <c r="Y82" s="10">
        <f>IF(ISBLANK(VLOOKUP($B82,برا!$A$2:AV60,22,FALSE)),0,VLOOKUP($B82,برا!$A$2:AV60,22,FALSE))</f>
        <v>0</v>
      </c>
      <c r="Z82" s="10">
        <f>IF(ISBLANK(VLOOKUP($B82,برا!$A$2:AW60,23,FALSE)),0,VLOOKUP($B82,برا!$A$2:AW60,23,FALSE))</f>
        <v>0</v>
      </c>
      <c r="AA82" s="10">
        <f>IF(ISBLANK(VLOOKUP($B82,برا!$A$2:AX60,24,FALSE)),0,VLOOKUP($B82,برا!$A$2:AX60,24,FALSE))</f>
        <v>0</v>
      </c>
      <c r="AB82" s="10">
        <f>IF(ISBLANK(VLOOKUP($B82,برا!$A$2:AY60,25,FALSE)),0,VLOOKUP($B82,برا!$A$2:AY60,25,FALSE))</f>
        <v>0</v>
      </c>
      <c r="AC82" s="10">
        <f>IF(ISBLANK(VLOOKUP($B82,برا!$A$2:AZ60,26,FALSE)),0,VLOOKUP($B82,برا!$A$2:AZ60,26,FALSE))</f>
        <v>0</v>
      </c>
      <c r="AD82" s="10">
        <f>IF(ISBLANK(VLOOKUP($B82,برا!$A$2:BA60,27,FALSE)),0,VLOOKUP($B82,برا!$A$2:BA60,27,FALSE))</f>
        <v>0</v>
      </c>
      <c r="AE82" s="10">
        <f>IF(ISBLANK(VLOOKUP($B82,برا!$A$2:BB60,28,FALSE)),0,VLOOKUP($B82,برا!$A$2:BB60,28,FALSE))</f>
        <v>0</v>
      </c>
      <c r="AF82" s="10">
        <f>IF(ISBLANK(VLOOKUP($B82,برا!$A$2:BC60,29,FALSE)),0,VLOOKUP($B82,برا!$A$2:BC60,29,FALSE))</f>
        <v>0</v>
      </c>
      <c r="AG82" s="10">
        <f>IF(ISBLANK(VLOOKUP($B82,برا!$A$2:BD60,30,FALSE)),0,VLOOKUP($B82,برا!$A$2:BD60,30,FALSE))</f>
        <v>0</v>
      </c>
      <c r="AH82" s="10">
        <f>IF(ISBLANK(VLOOKUP($B82,برا!$A$2:BE60,31,FALSE)),0,VLOOKUP($B82,برا!$A$2:BE60,31,FALSE))</f>
        <v>0</v>
      </c>
      <c r="AI82" s="10">
        <f>IF(ISBLANK(VLOOKUP($B82,برا!$A$2:BF60,32,FALSE)),0,VLOOKUP($B82,برا!$A$2:BF60,32,FALSE))</f>
        <v>0</v>
      </c>
      <c r="AJ82" s="10">
        <f>IF(ISBLANK(VLOOKUP($B82,برا!$A$2:BG60,33,FALSE)),0,VLOOKUP($B82,برا!$A$2:BG60,33,FALSE))</f>
        <v>0</v>
      </c>
      <c r="AK82" s="10">
        <f>IF(ISBLANK(VLOOKUP($B82,برا!$A$2:BH60,34,FALSE)),0,VLOOKUP($B82,برا!$A$2:BH60,34,FALSE))</f>
        <v>0</v>
      </c>
      <c r="AL82" s="10">
        <f>IF(ISBLANK(VLOOKUP($B82,برا!$A$2:BI60,35,FALSE)),0,VLOOKUP($B82,برا!$A$2:BI60,35,FALSE))</f>
        <v>0</v>
      </c>
      <c r="AM82" s="10">
        <f>IF(ISBLANK(VLOOKUP($B82,برا!$A$2:BJ60,36,FALSE)),0,VLOOKUP($B82,برا!$A$2:BJ60,36,FALSE))</f>
        <v>0</v>
      </c>
      <c r="AN82" s="10" t="str">
        <f t="shared" si="3"/>
        <v/>
      </c>
    </row>
    <row r="83" spans="2:40" ht="53.25" customHeight="1" thickTop="1" thickBot="1">
      <c r="B83" s="315" t="s">
        <v>55</v>
      </c>
      <c r="C83" s="318">
        <f>SUM(C53:C82)</f>
        <v>2</v>
      </c>
      <c r="D83" s="318" t="s">
        <v>91</v>
      </c>
      <c r="E83" s="5">
        <f t="shared" ref="E83:Q83" si="4">SUM(E53:E82)</f>
        <v>0</v>
      </c>
      <c r="F83" s="5">
        <f t="shared" si="4"/>
        <v>0</v>
      </c>
      <c r="G83" s="5">
        <f t="shared" si="4"/>
        <v>0</v>
      </c>
      <c r="H83" s="5">
        <f t="shared" si="4"/>
        <v>0</v>
      </c>
      <c r="I83" s="5">
        <f t="shared" si="4"/>
        <v>2</v>
      </c>
      <c r="J83" s="5">
        <f t="shared" si="4"/>
        <v>0</v>
      </c>
      <c r="K83" s="5">
        <f t="shared" si="4"/>
        <v>0</v>
      </c>
      <c r="L83" s="5">
        <f t="shared" si="4"/>
        <v>2</v>
      </c>
      <c r="M83" s="5">
        <f t="shared" si="4"/>
        <v>0</v>
      </c>
      <c r="N83" s="5">
        <f t="shared" si="4"/>
        <v>0</v>
      </c>
      <c r="O83" s="5">
        <f t="shared" si="4"/>
        <v>2</v>
      </c>
      <c r="P83" s="5">
        <f t="shared" si="4"/>
        <v>0</v>
      </c>
      <c r="Q83" s="5">
        <f t="shared" si="4"/>
        <v>1</v>
      </c>
      <c r="R83" s="318" t="s">
        <v>73</v>
      </c>
      <c r="S83" s="318">
        <f>SUM(S53:S82)</f>
        <v>0</v>
      </c>
      <c r="T83" s="318" t="s">
        <v>74</v>
      </c>
      <c r="U83" s="318">
        <f>SUM(U53:U82)</f>
        <v>0</v>
      </c>
      <c r="V83" s="318">
        <f t="shared" ref="V83:AJ83" si="5">SUM(V53:V82)</f>
        <v>0</v>
      </c>
      <c r="W83" s="318">
        <f t="shared" si="5"/>
        <v>0</v>
      </c>
      <c r="X83" s="318">
        <f t="shared" si="5"/>
        <v>0</v>
      </c>
      <c r="Y83" s="318">
        <f t="shared" si="5"/>
        <v>0</v>
      </c>
      <c r="Z83" s="318">
        <f t="shared" si="5"/>
        <v>0</v>
      </c>
      <c r="AA83" s="318">
        <f t="shared" si="5"/>
        <v>0</v>
      </c>
      <c r="AB83" s="318">
        <f t="shared" si="5"/>
        <v>0</v>
      </c>
      <c r="AC83" s="318">
        <f t="shared" si="5"/>
        <v>0</v>
      </c>
      <c r="AD83" s="318">
        <f t="shared" si="5"/>
        <v>0</v>
      </c>
      <c r="AE83" s="318">
        <f t="shared" si="5"/>
        <v>0</v>
      </c>
      <c r="AF83" s="318">
        <f t="shared" si="5"/>
        <v>0</v>
      </c>
      <c r="AG83" s="318">
        <f t="shared" si="5"/>
        <v>0</v>
      </c>
      <c r="AH83" s="318">
        <f t="shared" si="5"/>
        <v>0</v>
      </c>
      <c r="AI83" s="318">
        <f t="shared" si="5"/>
        <v>0</v>
      </c>
      <c r="AJ83" s="318">
        <f t="shared" si="5"/>
        <v>0</v>
      </c>
      <c r="AK83" s="318">
        <f>SUM(AK53:AK82)</f>
        <v>0</v>
      </c>
      <c r="AL83" s="318">
        <f>SUM(AL53:AL82)</f>
        <v>0</v>
      </c>
      <c r="AM83" s="318">
        <f>SUM(AM53:AM82)</f>
        <v>0</v>
      </c>
      <c r="AN83" s="318" t="s">
        <v>72</v>
      </c>
    </row>
    <row r="84" spans="2:40" ht="35.25" customHeight="1" thickTop="1" thickBot="1">
      <c r="B84" s="316"/>
      <c r="C84" s="319"/>
      <c r="D84" s="319"/>
      <c r="E84" s="300">
        <f>E83+F83</f>
        <v>0</v>
      </c>
      <c r="F84" s="300"/>
      <c r="G84" s="300">
        <f>G83+H83</f>
        <v>0</v>
      </c>
      <c r="H84" s="300"/>
      <c r="I84" s="300">
        <f>I83+J83</f>
        <v>2</v>
      </c>
      <c r="J84" s="300"/>
      <c r="K84" s="300">
        <f>K83+L83+M83</f>
        <v>2</v>
      </c>
      <c r="L84" s="300"/>
      <c r="M84" s="300"/>
      <c r="N84" s="300">
        <f>N83+O83</f>
        <v>2</v>
      </c>
      <c r="O84" s="300"/>
      <c r="P84" s="300">
        <f>P83+Q83</f>
        <v>1</v>
      </c>
      <c r="Q84" s="300"/>
      <c r="R84" s="319"/>
      <c r="S84" s="319"/>
      <c r="T84" s="319"/>
      <c r="U84" s="319"/>
      <c r="V84" s="319"/>
      <c r="W84" s="319"/>
      <c r="X84" s="319"/>
      <c r="Y84" s="319"/>
      <c r="Z84" s="319"/>
      <c r="AA84" s="319"/>
      <c r="AB84" s="319"/>
      <c r="AC84" s="319"/>
      <c r="AD84" s="319"/>
      <c r="AE84" s="319"/>
      <c r="AF84" s="319"/>
      <c r="AG84" s="319"/>
      <c r="AH84" s="319"/>
      <c r="AI84" s="319"/>
      <c r="AJ84" s="319"/>
      <c r="AK84" s="319"/>
      <c r="AL84" s="319"/>
      <c r="AM84" s="319"/>
      <c r="AN84" s="319"/>
    </row>
    <row r="85" spans="2:40" ht="84" customHeight="1" thickTop="1" thickBot="1">
      <c r="B85" s="317"/>
      <c r="C85" s="320"/>
      <c r="D85" s="320"/>
      <c r="E85" s="300">
        <f>E84+G84+I84</f>
        <v>2</v>
      </c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20"/>
      <c r="S85" s="320"/>
      <c r="T85" s="320"/>
      <c r="U85" s="320"/>
      <c r="V85" s="320"/>
      <c r="W85" s="320"/>
      <c r="X85" s="320"/>
      <c r="Y85" s="320"/>
      <c r="Z85" s="320"/>
      <c r="AA85" s="320"/>
      <c r="AB85" s="320"/>
      <c r="AC85" s="320"/>
      <c r="AD85" s="320"/>
      <c r="AE85" s="320"/>
      <c r="AF85" s="320"/>
      <c r="AG85" s="320"/>
      <c r="AH85" s="320"/>
      <c r="AI85" s="320"/>
      <c r="AJ85" s="320"/>
      <c r="AK85" s="320"/>
      <c r="AL85" s="320"/>
      <c r="AM85" s="320"/>
      <c r="AN85" s="320"/>
    </row>
    <row r="86" spans="2:40" ht="15.75" thickTop="1"/>
  </sheetData>
  <sheetProtection formatCells="0" formatColumns="0" formatRows="0"/>
  <mergeCells count="152">
    <mergeCell ref="S46:T48"/>
    <mergeCell ref="R83:R85"/>
    <mergeCell ref="S83:S85"/>
    <mergeCell ref="T83:T85"/>
    <mergeCell ref="T39:T41"/>
    <mergeCell ref="N84:O85"/>
    <mergeCell ref="P84:Q85"/>
    <mergeCell ref="K84:M85"/>
    <mergeCell ref="E84:F84"/>
    <mergeCell ref="G84:H84"/>
    <mergeCell ref="I84:J84"/>
    <mergeCell ref="E85:J85"/>
    <mergeCell ref="S50:S52"/>
    <mergeCell ref="T50:T52"/>
    <mergeCell ref="E40:F40"/>
    <mergeCell ref="G40:H40"/>
    <mergeCell ref="I40:J40"/>
    <mergeCell ref="E41:J41"/>
    <mergeCell ref="K40:M41"/>
    <mergeCell ref="AN50:AN52"/>
    <mergeCell ref="Y50:Y52"/>
    <mergeCell ref="Z50:Z52"/>
    <mergeCell ref="AM50:AM52"/>
    <mergeCell ref="AE50:AF50"/>
    <mergeCell ref="AK6:AK8"/>
    <mergeCell ref="AL6:AL8"/>
    <mergeCell ref="AK39:AK41"/>
    <mergeCell ref="AL39:AL41"/>
    <mergeCell ref="AK50:AK52"/>
    <mergeCell ref="AL50:AL52"/>
    <mergeCell ref="AG39:AG41"/>
    <mergeCell ref="AH39:AH41"/>
    <mergeCell ref="AI39:AI41"/>
    <mergeCell ref="AN39:AN41"/>
    <mergeCell ref="AN83:AN85"/>
    <mergeCell ref="U83:U85"/>
    <mergeCell ref="V83:V85"/>
    <mergeCell ref="W83:W85"/>
    <mergeCell ref="X83:X85"/>
    <mergeCell ref="Y83:Y85"/>
    <mergeCell ref="Z83:Z85"/>
    <mergeCell ref="AA83:AA85"/>
    <mergeCell ref="AB83:AB85"/>
    <mergeCell ref="AC83:AC85"/>
    <mergeCell ref="AD83:AD85"/>
    <mergeCell ref="AE83:AE85"/>
    <mergeCell ref="AM83:AM85"/>
    <mergeCell ref="AF83:AF85"/>
    <mergeCell ref="AG83:AG85"/>
    <mergeCell ref="AH83:AH85"/>
    <mergeCell ref="AI83:AI85"/>
    <mergeCell ref="AJ83:AJ85"/>
    <mergeCell ref="AK83:AK85"/>
    <mergeCell ref="AL83:AL85"/>
    <mergeCell ref="B83:B85"/>
    <mergeCell ref="C83:C85"/>
    <mergeCell ref="D83:D85"/>
    <mergeCell ref="N40:O41"/>
    <mergeCell ref="P40:Q41"/>
    <mergeCell ref="AJ39:AJ41"/>
    <mergeCell ref="AM39:AM41"/>
    <mergeCell ref="S39:S41"/>
    <mergeCell ref="U39:U41"/>
    <mergeCell ref="V39:V41"/>
    <mergeCell ref="W39:W41"/>
    <mergeCell ref="X39:X41"/>
    <mergeCell ref="Y39:Y41"/>
    <mergeCell ref="Z39:Z41"/>
    <mergeCell ref="AA39:AA41"/>
    <mergeCell ref="AB39:AB41"/>
    <mergeCell ref="AC39:AC41"/>
    <mergeCell ref="AD39:AD41"/>
    <mergeCell ref="AE39:AE41"/>
    <mergeCell ref="AF39:AF41"/>
    <mergeCell ref="B48:C48"/>
    <mergeCell ref="P50:P52"/>
    <mergeCell ref="Q50:Q52"/>
    <mergeCell ref="R50:R52"/>
    <mergeCell ref="X50:X52"/>
    <mergeCell ref="U50:U52"/>
    <mergeCell ref="V50:V52"/>
    <mergeCell ref="W50:W52"/>
    <mergeCell ref="AM6:AM8"/>
    <mergeCell ref="S6:S8"/>
    <mergeCell ref="AB6:AB8"/>
    <mergeCell ref="N51:N52"/>
    <mergeCell ref="O51:O52"/>
    <mergeCell ref="AA50:AA52"/>
    <mergeCell ref="AB50:AB52"/>
    <mergeCell ref="AC50:AC52"/>
    <mergeCell ref="AD50:AD52"/>
    <mergeCell ref="AE51:AE52"/>
    <mergeCell ref="AF51:AF52"/>
    <mergeCell ref="AG50:AG52"/>
    <mergeCell ref="AH50:AH52"/>
    <mergeCell ref="AI50:AI52"/>
    <mergeCell ref="AJ50:AJ52"/>
    <mergeCell ref="R39:R41"/>
    <mergeCell ref="N50:O50"/>
    <mergeCell ref="AE6:AF6"/>
    <mergeCell ref="F46:P48"/>
    <mergeCell ref="Q46:R48"/>
    <mergeCell ref="K6:M7"/>
    <mergeCell ref="N6:O7"/>
    <mergeCell ref="E7:F7"/>
    <mergeCell ref="G7:H7"/>
    <mergeCell ref="I7:J7"/>
    <mergeCell ref="AI6:AI8"/>
    <mergeCell ref="AJ6:AJ8"/>
    <mergeCell ref="AG6:AG8"/>
    <mergeCell ref="AN6:AN8"/>
    <mergeCell ref="AH6:AH8"/>
    <mergeCell ref="B50:B52"/>
    <mergeCell ref="C50:C52"/>
    <mergeCell ref="C39:C41"/>
    <mergeCell ref="B39:B41"/>
    <mergeCell ref="D39:D41"/>
    <mergeCell ref="M51:M52"/>
    <mergeCell ref="E51:F51"/>
    <mergeCell ref="I51:J51"/>
    <mergeCell ref="G51:H51"/>
    <mergeCell ref="K51:K52"/>
    <mergeCell ref="L51:L52"/>
    <mergeCell ref="K50:M50"/>
    <mergeCell ref="E50:J50"/>
    <mergeCell ref="D50:D52"/>
    <mergeCell ref="B46:C46"/>
    <mergeCell ref="B47:C47"/>
    <mergeCell ref="B5:C5"/>
    <mergeCell ref="Y6:Y8"/>
    <mergeCell ref="V6:V8"/>
    <mergeCell ref="T6:T8"/>
    <mergeCell ref="P6:P8"/>
    <mergeCell ref="E6:J6"/>
    <mergeCell ref="D6:D8"/>
    <mergeCell ref="AD6:AD8"/>
    <mergeCell ref="B2:C2"/>
    <mergeCell ref="B3:C3"/>
    <mergeCell ref="B4:C4"/>
    <mergeCell ref="Z6:Z8"/>
    <mergeCell ref="AA6:AA8"/>
    <mergeCell ref="AC6:AC8"/>
    <mergeCell ref="W6:W8"/>
    <mergeCell ref="X6:X8"/>
    <mergeCell ref="R6:R8"/>
    <mergeCell ref="B6:B8"/>
    <mergeCell ref="U6:U8"/>
    <mergeCell ref="Q6:Q8"/>
    <mergeCell ref="C6:C8"/>
    <mergeCell ref="F2:P4"/>
    <mergeCell ref="Q2:R4"/>
    <mergeCell ref="S2:T4"/>
  </mergeCells>
  <pageMargins left="0.23622047244094491" right="0.23622047244094491" top="0" bottom="0" header="0.31496062992125984" footer="0.31496062992125984"/>
  <pageSetup paperSize="9" scale="2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5" tint="-0.249977111117893"/>
    <pageSetUpPr fitToPage="1"/>
  </sheetPr>
  <dimension ref="A1:AL34"/>
  <sheetViews>
    <sheetView rightToLeft="1" view="pageBreakPreview" zoomScaleNormal="70" zoomScaleSheetLayoutView="100" workbookViewId="0">
      <selection activeCell="AL15" sqref="AL15"/>
    </sheetView>
  </sheetViews>
  <sheetFormatPr baseColWidth="10" defaultRowHeight="15"/>
  <cols>
    <col min="1" max="1" width="36.85546875" customWidth="1"/>
    <col min="2" max="2" width="16" customWidth="1"/>
    <col min="3" max="3" width="9.140625" customWidth="1"/>
    <col min="4" max="4" width="9.28515625" bestFit="1" customWidth="1"/>
    <col min="5" max="5" width="9.28515625" customWidth="1"/>
    <col min="6" max="6" width="8" bestFit="1" customWidth="1"/>
    <col min="7" max="12" width="8" customWidth="1"/>
    <col min="13" max="13" width="14.28515625" customWidth="1"/>
    <col min="14" max="14" width="15.42578125" customWidth="1"/>
    <col min="15" max="15" width="21.140625" bestFit="1" customWidth="1"/>
    <col min="16" max="16" width="21.140625" customWidth="1"/>
    <col min="17" max="17" width="20.42578125" bestFit="1" customWidth="1"/>
    <col min="18" max="18" width="20.42578125" customWidth="1"/>
    <col min="19" max="19" width="24.5703125" bestFit="1" customWidth="1"/>
    <col min="20" max="20" width="13" bestFit="1" customWidth="1"/>
    <col min="21" max="21" width="7.42578125" bestFit="1" customWidth="1"/>
    <col min="22" max="22" width="7.85546875" bestFit="1" customWidth="1"/>
    <col min="23" max="23" width="6.85546875" bestFit="1" customWidth="1"/>
    <col min="24" max="24" width="8.5703125" bestFit="1" customWidth="1"/>
    <col min="25" max="25" width="8.5703125" customWidth="1"/>
    <col min="26" max="26" width="11.28515625" bestFit="1" customWidth="1"/>
    <col min="27" max="27" width="10.5703125" bestFit="1" customWidth="1"/>
    <col min="28" max="28" width="8.42578125" bestFit="1" customWidth="1"/>
    <col min="29" max="29" width="7.42578125" bestFit="1" customWidth="1"/>
    <col min="30" max="30" width="8.28515625" bestFit="1" customWidth="1"/>
    <col min="31" max="31" width="12.7109375" bestFit="1" customWidth="1"/>
    <col min="32" max="32" width="8" bestFit="1" customWidth="1"/>
    <col min="33" max="33" width="8.85546875" bestFit="1" customWidth="1"/>
    <col min="34" max="35" width="8.85546875" customWidth="1"/>
    <col min="36" max="36" width="22" bestFit="1" customWidth="1"/>
    <col min="37" max="37" width="0.85546875" customWidth="1"/>
    <col min="38" max="38" width="21.42578125" customWidth="1"/>
    <col min="39" max="40" width="12.140625" bestFit="1" customWidth="1"/>
    <col min="41" max="41" width="17.85546875" bestFit="1" customWidth="1"/>
    <col min="42" max="42" width="17.42578125" bestFit="1" customWidth="1"/>
    <col min="43" max="43" width="21.7109375" bestFit="1" customWidth="1"/>
    <col min="44" max="47" width="12.140625" bestFit="1" customWidth="1"/>
    <col min="48" max="56" width="11.140625" bestFit="1" customWidth="1"/>
    <col min="57" max="57" width="6.5703125" bestFit="1" customWidth="1"/>
    <col min="58" max="58" width="5.7109375" bestFit="1" customWidth="1"/>
    <col min="59" max="59" width="10.42578125" bestFit="1" customWidth="1"/>
    <col min="60" max="60" width="6" bestFit="1" customWidth="1"/>
    <col min="61" max="61" width="5.140625" bestFit="1" customWidth="1"/>
    <col min="62" max="62" width="6.140625" bestFit="1" customWidth="1"/>
    <col min="63" max="63" width="8.28515625" bestFit="1" customWidth="1"/>
    <col min="64" max="64" width="9" bestFit="1" customWidth="1"/>
    <col min="65" max="65" width="6.28515625" bestFit="1" customWidth="1"/>
    <col min="66" max="66" width="4.5703125" bestFit="1" customWidth="1"/>
    <col min="67" max="67" width="5.5703125" bestFit="1" customWidth="1"/>
    <col min="68" max="68" width="5.140625" bestFit="1" customWidth="1"/>
    <col min="69" max="69" width="10.7109375" bestFit="1" customWidth="1"/>
    <col min="70" max="70" width="22.28515625" bestFit="1" customWidth="1"/>
    <col min="71" max="71" width="18.140625" bestFit="1" customWidth="1"/>
    <col min="72" max="72" width="18.85546875" bestFit="1" customWidth="1"/>
    <col min="73" max="73" width="11.7109375" bestFit="1" customWidth="1"/>
    <col min="74" max="74" width="5.7109375" bestFit="1" customWidth="1"/>
    <col min="75" max="75" width="7" bestFit="1" customWidth="1"/>
    <col min="76" max="76" width="11" bestFit="1" customWidth="1"/>
    <col min="77" max="77" width="22" bestFit="1" customWidth="1"/>
  </cols>
  <sheetData>
    <row r="1" spans="1:38" ht="41.25" customHeight="1">
      <c r="A1" s="26" t="s">
        <v>15</v>
      </c>
      <c r="B1" s="26" t="s">
        <v>90</v>
      </c>
      <c r="C1" s="26" t="s">
        <v>14</v>
      </c>
      <c r="D1" s="26" t="s">
        <v>104</v>
      </c>
      <c r="E1" s="26" t="s">
        <v>105</v>
      </c>
      <c r="F1" s="26" t="s">
        <v>106</v>
      </c>
      <c r="G1" s="26" t="s">
        <v>107</v>
      </c>
      <c r="H1" s="26" t="s">
        <v>108</v>
      </c>
      <c r="I1" s="26" t="s">
        <v>109</v>
      </c>
      <c r="J1" s="26" t="s">
        <v>101</v>
      </c>
      <c r="K1" s="26" t="s">
        <v>102</v>
      </c>
      <c r="L1" s="26" t="s">
        <v>103</v>
      </c>
      <c r="M1" s="26" t="s">
        <v>78</v>
      </c>
      <c r="N1" s="26" t="s">
        <v>77</v>
      </c>
      <c r="O1" s="26" t="s">
        <v>79</v>
      </c>
      <c r="P1" s="26" t="s">
        <v>80</v>
      </c>
      <c r="Q1" s="26" t="s">
        <v>11</v>
      </c>
      <c r="R1" s="26" t="s">
        <v>83</v>
      </c>
      <c r="S1" s="26" t="s">
        <v>10</v>
      </c>
      <c r="T1" s="26" t="s">
        <v>9</v>
      </c>
      <c r="U1" s="26" t="s">
        <v>8</v>
      </c>
      <c r="V1" s="26" t="s">
        <v>7</v>
      </c>
      <c r="W1" s="26" t="s">
        <v>6</v>
      </c>
      <c r="X1" s="26" t="s">
        <v>5</v>
      </c>
      <c r="Y1" s="26" t="s">
        <v>96</v>
      </c>
      <c r="Z1" s="26" t="s">
        <v>67</v>
      </c>
      <c r="AA1" s="26" t="s">
        <v>4</v>
      </c>
      <c r="AB1" s="26" t="s">
        <v>66</v>
      </c>
      <c r="AC1" s="26" t="s">
        <v>65</v>
      </c>
      <c r="AD1" s="26" t="s">
        <v>3</v>
      </c>
      <c r="AE1" s="26" t="s">
        <v>2</v>
      </c>
      <c r="AF1" s="26" t="s">
        <v>1</v>
      </c>
      <c r="AG1" s="26" t="s">
        <v>0</v>
      </c>
      <c r="AH1" s="26" t="s">
        <v>112</v>
      </c>
      <c r="AI1" s="26" t="s">
        <v>113</v>
      </c>
      <c r="AJ1" s="26" t="s">
        <v>87</v>
      </c>
      <c r="AK1" s="6"/>
      <c r="AL1" s="7" t="s">
        <v>89</v>
      </c>
    </row>
    <row r="2" spans="1:38" ht="18.75" customHeight="1">
      <c r="A2" s="36" t="s">
        <v>16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4"/>
      <c r="AK2" s="134"/>
      <c r="AL2" s="134"/>
    </row>
    <row r="3" spans="1:38" ht="21">
      <c r="A3" s="36" t="s">
        <v>17</v>
      </c>
      <c r="B3" s="123"/>
      <c r="C3" s="123"/>
      <c r="D3" s="125"/>
      <c r="E3" s="126"/>
      <c r="F3" s="125"/>
      <c r="G3" s="126"/>
      <c r="H3" s="125"/>
      <c r="I3" s="126"/>
      <c r="J3" s="125"/>
      <c r="K3" s="123"/>
      <c r="L3" s="126"/>
      <c r="M3" s="125"/>
      <c r="N3" s="126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7"/>
      <c r="AK3" s="134"/>
      <c r="AL3" s="134"/>
    </row>
    <row r="4" spans="1:38" ht="21">
      <c r="A4" s="36" t="s">
        <v>18</v>
      </c>
      <c r="B4" s="123"/>
      <c r="C4" s="123"/>
      <c r="D4" s="125"/>
      <c r="E4" s="126"/>
      <c r="F4" s="125"/>
      <c r="G4" s="126"/>
      <c r="H4" s="125"/>
      <c r="I4" s="126"/>
      <c r="J4" s="125"/>
      <c r="K4" s="123"/>
      <c r="L4" s="126"/>
      <c r="M4" s="125"/>
      <c r="N4" s="126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7"/>
      <c r="AK4" s="134"/>
      <c r="AL4" s="134"/>
    </row>
    <row r="5" spans="1:38" ht="21">
      <c r="A5" s="36" t="s">
        <v>19</v>
      </c>
      <c r="B5" s="123"/>
      <c r="C5" s="123"/>
      <c r="D5" s="125"/>
      <c r="E5" s="126"/>
      <c r="F5" s="125"/>
      <c r="G5" s="126"/>
      <c r="H5" s="125"/>
      <c r="I5" s="126"/>
      <c r="J5" s="125"/>
      <c r="K5" s="123"/>
      <c r="L5" s="126"/>
      <c r="M5" s="125"/>
      <c r="N5" s="126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7"/>
      <c r="AK5" s="134"/>
      <c r="AL5" s="134"/>
    </row>
    <row r="6" spans="1:38" ht="21">
      <c r="A6" s="36" t="s">
        <v>20</v>
      </c>
      <c r="B6" s="123"/>
      <c r="C6" s="123"/>
      <c r="D6" s="125"/>
      <c r="E6" s="126"/>
      <c r="F6" s="125"/>
      <c r="G6" s="126"/>
      <c r="H6" s="125"/>
      <c r="I6" s="126"/>
      <c r="J6" s="125"/>
      <c r="K6" s="123"/>
      <c r="L6" s="126"/>
      <c r="M6" s="125"/>
      <c r="N6" s="126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7"/>
      <c r="AK6" s="134"/>
      <c r="AL6" s="134"/>
    </row>
    <row r="7" spans="1:38" ht="42">
      <c r="A7" s="36" t="s">
        <v>21</v>
      </c>
      <c r="B7" s="123" t="s">
        <v>211</v>
      </c>
      <c r="C7" s="123"/>
      <c r="D7" s="125"/>
      <c r="E7" s="126"/>
      <c r="F7" s="125"/>
      <c r="G7" s="126"/>
      <c r="H7" s="125"/>
      <c r="I7" s="126"/>
      <c r="J7" s="125"/>
      <c r="K7" s="123"/>
      <c r="L7" s="126"/>
      <c r="M7" s="125"/>
      <c r="N7" s="126"/>
      <c r="O7" s="123"/>
      <c r="P7" s="123">
        <v>1</v>
      </c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7" t="s">
        <v>212</v>
      </c>
      <c r="AK7" s="134"/>
      <c r="AL7" s="134">
        <v>867</v>
      </c>
    </row>
    <row r="8" spans="1:38" ht="21">
      <c r="A8" s="36" t="s">
        <v>22</v>
      </c>
      <c r="B8" s="123"/>
      <c r="C8" s="123"/>
      <c r="D8" s="125"/>
      <c r="E8" s="126"/>
      <c r="F8" s="125"/>
      <c r="G8" s="126"/>
      <c r="H8" s="125"/>
      <c r="I8" s="126"/>
      <c r="J8" s="125"/>
      <c r="K8" s="123"/>
      <c r="L8" s="126"/>
      <c r="M8" s="125"/>
      <c r="N8" s="126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7"/>
      <c r="AK8" s="134"/>
      <c r="AL8" s="134"/>
    </row>
    <row r="9" spans="1:38" ht="21">
      <c r="A9" s="36" t="s">
        <v>23</v>
      </c>
      <c r="B9" s="123"/>
      <c r="C9" s="123"/>
      <c r="D9" s="125"/>
      <c r="E9" s="126"/>
      <c r="F9" s="125"/>
      <c r="G9" s="126"/>
      <c r="H9" s="125"/>
      <c r="I9" s="126"/>
      <c r="J9" s="125"/>
      <c r="K9" s="123"/>
      <c r="L9" s="126"/>
      <c r="M9" s="125"/>
      <c r="N9" s="126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7"/>
      <c r="AK9" s="134"/>
      <c r="AL9" s="134"/>
    </row>
    <row r="10" spans="1:38" ht="21">
      <c r="A10" s="36" t="s">
        <v>24</v>
      </c>
      <c r="B10" s="123"/>
      <c r="C10" s="123"/>
      <c r="D10" s="125"/>
      <c r="E10" s="126"/>
      <c r="F10" s="125"/>
      <c r="G10" s="126"/>
      <c r="H10" s="125"/>
      <c r="I10" s="126"/>
      <c r="J10" s="125"/>
      <c r="K10" s="123"/>
      <c r="L10" s="126"/>
      <c r="M10" s="125"/>
      <c r="N10" s="126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7"/>
      <c r="AK10" s="134"/>
      <c r="AL10" s="134"/>
    </row>
    <row r="11" spans="1:38" ht="21">
      <c r="A11" s="36" t="s">
        <v>25</v>
      </c>
      <c r="B11" s="123"/>
      <c r="C11" s="123"/>
      <c r="D11" s="125"/>
      <c r="E11" s="126"/>
      <c r="F11" s="125"/>
      <c r="G11" s="126"/>
      <c r="H11" s="125"/>
      <c r="I11" s="126"/>
      <c r="J11" s="125"/>
      <c r="K11" s="123"/>
      <c r="L11" s="126"/>
      <c r="M11" s="125"/>
      <c r="N11" s="126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7"/>
      <c r="AK11" s="134"/>
      <c r="AL11" s="134"/>
    </row>
    <row r="12" spans="1:38" ht="21">
      <c r="A12" s="36" t="s">
        <v>68</v>
      </c>
      <c r="B12" s="123"/>
      <c r="C12" s="123"/>
      <c r="D12" s="125"/>
      <c r="E12" s="126"/>
      <c r="F12" s="125"/>
      <c r="G12" s="126"/>
      <c r="H12" s="125"/>
      <c r="I12" s="126"/>
      <c r="J12" s="125"/>
      <c r="K12" s="123"/>
      <c r="L12" s="126"/>
      <c r="M12" s="125"/>
      <c r="N12" s="126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7"/>
      <c r="AK12" s="134"/>
      <c r="AL12" s="134"/>
    </row>
    <row r="13" spans="1:38" ht="21">
      <c r="A13" s="36" t="s">
        <v>26</v>
      </c>
      <c r="B13" s="123"/>
      <c r="C13" s="123"/>
      <c r="D13" s="125"/>
      <c r="E13" s="126"/>
      <c r="F13" s="125"/>
      <c r="G13" s="126"/>
      <c r="H13" s="125"/>
      <c r="I13" s="126"/>
      <c r="J13" s="125"/>
      <c r="K13" s="123"/>
      <c r="L13" s="126"/>
      <c r="M13" s="125"/>
      <c r="N13" s="126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7"/>
      <c r="AK13" s="134"/>
      <c r="AL13" s="134"/>
    </row>
    <row r="14" spans="1:38" ht="21">
      <c r="A14" s="36" t="s">
        <v>27</v>
      </c>
      <c r="B14" s="123"/>
      <c r="C14" s="123"/>
      <c r="D14" s="125"/>
      <c r="E14" s="126"/>
      <c r="F14" s="125"/>
      <c r="G14" s="126"/>
      <c r="H14" s="125"/>
      <c r="I14" s="126"/>
      <c r="J14" s="125"/>
      <c r="K14" s="123"/>
      <c r="L14" s="126"/>
      <c r="M14" s="125"/>
      <c r="N14" s="126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7"/>
      <c r="AK14" s="134"/>
      <c r="AL14" s="134"/>
    </row>
    <row r="15" spans="1:38" ht="21">
      <c r="A15" s="36" t="s">
        <v>28</v>
      </c>
      <c r="B15" s="123" t="s">
        <v>28</v>
      </c>
      <c r="C15" s="123">
        <v>1</v>
      </c>
      <c r="D15" s="125"/>
      <c r="E15" s="126"/>
      <c r="F15" s="125"/>
      <c r="G15" s="126"/>
      <c r="H15" s="125">
        <v>1</v>
      </c>
      <c r="I15" s="126"/>
      <c r="J15" s="125"/>
      <c r="K15" s="123">
        <v>1</v>
      </c>
      <c r="L15" s="126"/>
      <c r="M15" s="125"/>
      <c r="N15" s="126">
        <v>1</v>
      </c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7"/>
      <c r="AK15" s="134"/>
      <c r="AL15" s="134">
        <v>183</v>
      </c>
    </row>
    <row r="16" spans="1:38" ht="21">
      <c r="A16" s="36" t="s">
        <v>29</v>
      </c>
      <c r="B16" s="123"/>
      <c r="C16" s="123"/>
      <c r="D16" s="125"/>
      <c r="E16" s="126"/>
      <c r="F16" s="125"/>
      <c r="G16" s="126"/>
      <c r="H16" s="125"/>
      <c r="I16" s="126"/>
      <c r="J16" s="125"/>
      <c r="K16" s="123"/>
      <c r="L16" s="126"/>
      <c r="M16" s="125"/>
      <c r="N16" s="126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7"/>
      <c r="AK16" s="134"/>
      <c r="AL16" s="134"/>
    </row>
    <row r="17" spans="1:38" ht="21">
      <c r="A17" s="36" t="s">
        <v>30</v>
      </c>
      <c r="B17" s="123"/>
      <c r="C17" s="123"/>
      <c r="D17" s="125"/>
      <c r="E17" s="126"/>
      <c r="F17" s="125"/>
      <c r="G17" s="126"/>
      <c r="H17" s="125"/>
      <c r="I17" s="126"/>
      <c r="J17" s="125"/>
      <c r="K17" s="123"/>
      <c r="L17" s="126"/>
      <c r="M17" s="125"/>
      <c r="N17" s="126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7"/>
      <c r="AK17" s="134"/>
      <c r="AL17" s="134"/>
    </row>
    <row r="18" spans="1:38" ht="21">
      <c r="A18" s="36" t="s">
        <v>31</v>
      </c>
      <c r="B18" s="123"/>
      <c r="C18" s="123"/>
      <c r="D18" s="125"/>
      <c r="E18" s="126"/>
      <c r="F18" s="125"/>
      <c r="G18" s="126"/>
      <c r="H18" s="125"/>
      <c r="I18" s="126"/>
      <c r="J18" s="125"/>
      <c r="K18" s="123"/>
      <c r="L18" s="126"/>
      <c r="M18" s="125"/>
      <c r="N18" s="126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7"/>
      <c r="AK18" s="134"/>
      <c r="AL18" s="134"/>
    </row>
    <row r="19" spans="1:38" ht="21">
      <c r="A19" s="36" t="s">
        <v>32</v>
      </c>
      <c r="B19" s="123"/>
      <c r="C19" s="123"/>
      <c r="D19" s="125"/>
      <c r="E19" s="126"/>
      <c r="F19" s="125"/>
      <c r="G19" s="126"/>
      <c r="H19" s="125"/>
      <c r="I19" s="126"/>
      <c r="J19" s="125"/>
      <c r="K19" s="123"/>
      <c r="L19" s="126"/>
      <c r="M19" s="125"/>
      <c r="N19" s="126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7"/>
      <c r="AK19" s="134"/>
      <c r="AL19" s="134"/>
    </row>
    <row r="20" spans="1:38" ht="21">
      <c r="A20" s="36" t="s">
        <v>33</v>
      </c>
      <c r="B20" s="123"/>
      <c r="C20" s="123"/>
      <c r="D20" s="125"/>
      <c r="E20" s="126"/>
      <c r="F20" s="125"/>
      <c r="G20" s="126"/>
      <c r="H20" s="125"/>
      <c r="I20" s="126"/>
      <c r="J20" s="125"/>
      <c r="K20" s="123"/>
      <c r="L20" s="126"/>
      <c r="M20" s="125"/>
      <c r="N20" s="126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7"/>
      <c r="AK20" s="134"/>
      <c r="AL20" s="134"/>
    </row>
    <row r="21" spans="1:38" ht="21">
      <c r="A21" s="36" t="s">
        <v>34</v>
      </c>
      <c r="B21" s="123" t="s">
        <v>206</v>
      </c>
      <c r="C21" s="123">
        <v>1</v>
      </c>
      <c r="D21" s="125"/>
      <c r="E21" s="126"/>
      <c r="F21" s="125"/>
      <c r="G21" s="126"/>
      <c r="H21" s="125">
        <v>1</v>
      </c>
      <c r="I21" s="126"/>
      <c r="J21" s="125"/>
      <c r="K21" s="123">
        <v>1</v>
      </c>
      <c r="L21" s="126"/>
      <c r="M21" s="125"/>
      <c r="N21" s="126">
        <v>1</v>
      </c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7"/>
      <c r="AK21" s="134"/>
      <c r="AL21" s="134">
        <v>303</v>
      </c>
    </row>
    <row r="22" spans="1:38" ht="21">
      <c r="A22" s="36" t="s">
        <v>35</v>
      </c>
      <c r="B22" s="123"/>
      <c r="C22" s="123"/>
      <c r="D22" s="125"/>
      <c r="E22" s="126"/>
      <c r="F22" s="125"/>
      <c r="G22" s="126"/>
      <c r="H22" s="125"/>
      <c r="I22" s="126"/>
      <c r="J22" s="125"/>
      <c r="K22" s="123"/>
      <c r="L22" s="126"/>
      <c r="M22" s="125"/>
      <c r="N22" s="126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7"/>
      <c r="AK22" s="134"/>
      <c r="AL22" s="134"/>
    </row>
    <row r="23" spans="1:38" ht="21">
      <c r="A23" s="36" t="s">
        <v>36</v>
      </c>
      <c r="B23" s="123"/>
      <c r="C23" s="123"/>
      <c r="D23" s="125"/>
      <c r="E23" s="126"/>
      <c r="F23" s="125"/>
      <c r="G23" s="126"/>
      <c r="H23" s="125"/>
      <c r="I23" s="126"/>
      <c r="J23" s="125"/>
      <c r="K23" s="123"/>
      <c r="L23" s="126"/>
      <c r="M23" s="125"/>
      <c r="N23" s="126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7"/>
      <c r="AK23" s="134"/>
      <c r="AL23" s="134"/>
    </row>
    <row r="24" spans="1:38" ht="21">
      <c r="A24" s="36" t="s">
        <v>37</v>
      </c>
      <c r="B24" s="123"/>
      <c r="C24" s="123"/>
      <c r="D24" s="125"/>
      <c r="E24" s="126"/>
      <c r="F24" s="125"/>
      <c r="G24" s="126"/>
      <c r="H24" s="125"/>
      <c r="I24" s="126"/>
      <c r="J24" s="125"/>
      <c r="K24" s="123"/>
      <c r="L24" s="126"/>
      <c r="M24" s="125"/>
      <c r="N24" s="126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7"/>
      <c r="AK24" s="134"/>
      <c r="AL24" s="134"/>
    </row>
    <row r="25" spans="1:38" ht="21">
      <c r="A25" s="36" t="s">
        <v>38</v>
      </c>
      <c r="B25" s="123"/>
      <c r="C25" s="123"/>
      <c r="D25" s="125"/>
      <c r="E25" s="126"/>
      <c r="F25" s="125"/>
      <c r="G25" s="126"/>
      <c r="H25" s="125"/>
      <c r="I25" s="126"/>
      <c r="J25" s="125"/>
      <c r="K25" s="123"/>
      <c r="L25" s="126"/>
      <c r="M25" s="125"/>
      <c r="N25" s="126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7"/>
      <c r="AK25" s="134"/>
      <c r="AL25" s="134"/>
    </row>
    <row r="26" spans="1:38" ht="21">
      <c r="A26" s="36" t="s">
        <v>39</v>
      </c>
      <c r="B26" s="123"/>
      <c r="C26" s="123"/>
      <c r="D26" s="125"/>
      <c r="E26" s="126"/>
      <c r="F26" s="125"/>
      <c r="G26" s="126"/>
      <c r="H26" s="125"/>
      <c r="I26" s="126"/>
      <c r="J26" s="125"/>
      <c r="K26" s="123"/>
      <c r="L26" s="126"/>
      <c r="M26" s="125"/>
      <c r="N26" s="126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7"/>
      <c r="AK26" s="134"/>
      <c r="AL26" s="134"/>
    </row>
    <row r="27" spans="1:38" ht="21">
      <c r="A27" s="36" t="s">
        <v>40</v>
      </c>
      <c r="B27" s="123"/>
      <c r="C27" s="123"/>
      <c r="D27" s="125"/>
      <c r="E27" s="126"/>
      <c r="F27" s="125"/>
      <c r="G27" s="126"/>
      <c r="H27" s="125"/>
      <c r="I27" s="126"/>
      <c r="J27" s="125"/>
      <c r="K27" s="123"/>
      <c r="L27" s="126"/>
      <c r="M27" s="125"/>
      <c r="N27" s="126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7"/>
      <c r="AK27" s="134"/>
      <c r="AL27" s="134"/>
    </row>
    <row r="28" spans="1:38" ht="21">
      <c r="A28" s="36" t="s">
        <v>41</v>
      </c>
      <c r="B28" s="123"/>
      <c r="C28" s="123"/>
      <c r="D28" s="125"/>
      <c r="E28" s="126"/>
      <c r="F28" s="125"/>
      <c r="G28" s="126"/>
      <c r="H28" s="125"/>
      <c r="I28" s="126"/>
      <c r="J28" s="125"/>
      <c r="K28" s="123"/>
      <c r="L28" s="126"/>
      <c r="M28" s="125"/>
      <c r="N28" s="126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7"/>
      <c r="AK28" s="134"/>
      <c r="AL28" s="134"/>
    </row>
    <row r="29" spans="1:38" ht="21">
      <c r="A29" s="36" t="s">
        <v>42</v>
      </c>
      <c r="B29" s="123"/>
      <c r="C29" s="123"/>
      <c r="D29" s="125"/>
      <c r="E29" s="126"/>
      <c r="F29" s="125"/>
      <c r="G29" s="126"/>
      <c r="H29" s="125"/>
      <c r="I29" s="126"/>
      <c r="J29" s="125"/>
      <c r="K29" s="123"/>
      <c r="L29" s="126"/>
      <c r="M29" s="125"/>
      <c r="N29" s="126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7"/>
      <c r="AK29" s="134"/>
      <c r="AL29" s="134"/>
    </row>
    <row r="30" spans="1:38" ht="21">
      <c r="A30" s="36" t="s">
        <v>43</v>
      </c>
      <c r="B30" s="123"/>
      <c r="C30" s="123"/>
      <c r="D30" s="125"/>
      <c r="E30" s="126"/>
      <c r="F30" s="125"/>
      <c r="G30" s="126"/>
      <c r="H30" s="125"/>
      <c r="I30" s="126"/>
      <c r="J30" s="125"/>
      <c r="K30" s="123"/>
      <c r="L30" s="126"/>
      <c r="M30" s="125"/>
      <c r="N30" s="126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7"/>
      <c r="AK30" s="134"/>
      <c r="AL30" s="134"/>
    </row>
    <row r="31" spans="1:38" ht="21">
      <c r="A31" s="36" t="s">
        <v>44</v>
      </c>
      <c r="B31" s="136"/>
      <c r="C31" s="123"/>
      <c r="D31" s="137"/>
      <c r="E31" s="126"/>
      <c r="F31" s="137"/>
      <c r="G31" s="126"/>
      <c r="H31" s="137"/>
      <c r="I31" s="126"/>
      <c r="J31" s="137"/>
      <c r="K31" s="123"/>
      <c r="L31" s="138"/>
      <c r="M31" s="125"/>
      <c r="N31" s="138"/>
      <c r="O31" s="123"/>
      <c r="P31" s="136"/>
      <c r="Q31" s="123"/>
      <c r="R31" s="136"/>
      <c r="S31" s="123"/>
      <c r="T31" s="136"/>
      <c r="U31" s="123"/>
      <c r="V31" s="136"/>
      <c r="W31" s="123"/>
      <c r="X31" s="136"/>
      <c r="Y31" s="123"/>
      <c r="Z31" s="136"/>
      <c r="AA31" s="123"/>
      <c r="AB31" s="136"/>
      <c r="AC31" s="123"/>
      <c r="AD31" s="136"/>
      <c r="AE31" s="123"/>
      <c r="AF31" s="136"/>
      <c r="AG31" s="123"/>
      <c r="AH31" s="123"/>
      <c r="AI31" s="123"/>
      <c r="AJ31" s="127"/>
      <c r="AK31" s="134"/>
      <c r="AL31" s="134"/>
    </row>
    <row r="32" spans="1:38" ht="15.75" thickBot="1">
      <c r="D32" s="32"/>
      <c r="E32" s="33"/>
      <c r="F32" s="32"/>
      <c r="G32" s="33"/>
      <c r="H32" s="32"/>
      <c r="I32" s="33"/>
      <c r="J32" s="32"/>
      <c r="K32" s="34"/>
      <c r="L32" s="33"/>
      <c r="M32" s="32"/>
      <c r="N32" s="33"/>
    </row>
    <row r="33" spans="1:36" ht="45">
      <c r="A33" s="22" t="s">
        <v>15</v>
      </c>
      <c r="B33" s="23" t="s">
        <v>90</v>
      </c>
      <c r="C33" s="23" t="s">
        <v>14</v>
      </c>
      <c r="D33" s="31" t="s">
        <v>104</v>
      </c>
      <c r="E33" s="31" t="s">
        <v>105</v>
      </c>
      <c r="F33" s="31" t="s">
        <v>106</v>
      </c>
      <c r="G33" s="31" t="s">
        <v>107</v>
      </c>
      <c r="H33" s="31" t="s">
        <v>108</v>
      </c>
      <c r="I33" s="31" t="s">
        <v>109</v>
      </c>
      <c r="J33" s="31" t="s">
        <v>101</v>
      </c>
      <c r="K33" s="31" t="s">
        <v>102</v>
      </c>
      <c r="L33" s="31" t="s">
        <v>103</v>
      </c>
      <c r="M33" s="31" t="s">
        <v>78</v>
      </c>
      <c r="N33" s="31" t="s">
        <v>77</v>
      </c>
      <c r="O33" s="23" t="s">
        <v>79</v>
      </c>
      <c r="P33" s="23" t="s">
        <v>80</v>
      </c>
      <c r="Q33" s="23" t="s">
        <v>11</v>
      </c>
      <c r="R33" s="23" t="s">
        <v>83</v>
      </c>
      <c r="S33" s="23" t="s">
        <v>10</v>
      </c>
      <c r="T33" s="23" t="s">
        <v>9</v>
      </c>
      <c r="U33" s="23" t="s">
        <v>8</v>
      </c>
      <c r="V33" s="23" t="s">
        <v>7</v>
      </c>
      <c r="W33" s="23" t="s">
        <v>6</v>
      </c>
      <c r="X33" s="23" t="s">
        <v>5</v>
      </c>
      <c r="Y33" s="23" t="s">
        <v>96</v>
      </c>
      <c r="Z33" s="23" t="s">
        <v>67</v>
      </c>
      <c r="AA33" s="23" t="s">
        <v>4</v>
      </c>
      <c r="AB33" s="23" t="s">
        <v>66</v>
      </c>
      <c r="AC33" s="23" t="s">
        <v>65</v>
      </c>
      <c r="AD33" s="23" t="s">
        <v>3</v>
      </c>
      <c r="AE33" s="23" t="s">
        <v>85</v>
      </c>
      <c r="AF33" s="23" t="s">
        <v>1</v>
      </c>
      <c r="AG33" s="23" t="s">
        <v>0</v>
      </c>
      <c r="AH33" s="39"/>
      <c r="AI33" s="39"/>
    </row>
    <row r="34" spans="1:36" s="3" customFormat="1" ht="28.5">
      <c r="A34" s="19" t="s">
        <v>55</v>
      </c>
      <c r="B34" s="20"/>
      <c r="C34" s="21">
        <f>SUM(برا[عدد العمليات])</f>
        <v>2</v>
      </c>
      <c r="D34" s="21">
        <f>SUM(برا[تونسيين ذكور])</f>
        <v>0</v>
      </c>
      <c r="E34" s="21">
        <f>SUM(برا[تونسيين اناث])</f>
        <v>0</v>
      </c>
      <c r="F34" s="21">
        <f>SUM(برا[افارقة ذكور])</f>
        <v>0</v>
      </c>
      <c r="G34" s="21">
        <f>SUM(برا[افارقة اناث])</f>
        <v>0</v>
      </c>
      <c r="H34" s="21">
        <f>SUM(برا[جنسيات أخرى ذكور])</f>
        <v>2</v>
      </c>
      <c r="I34" s="21">
        <f>SUM(برا[جنسيات أخرى اناث])</f>
        <v>0</v>
      </c>
      <c r="J34" s="21">
        <f>SUM(برا[أقل من 18 سنة])</f>
        <v>0</v>
      </c>
      <c r="K34" s="21">
        <f>SUM(برا[بين 18و 40سنة])</f>
        <v>2</v>
      </c>
      <c r="L34" s="21">
        <f>SUM(برا[أكثر من40 سنة])</f>
        <v>0</v>
      </c>
      <c r="M34" s="21">
        <f>SUM(برا[عدد الموقوفين تونسيين])</f>
        <v>0</v>
      </c>
      <c r="N34" s="21">
        <f>SUM(برا[عدد الموقوفين أجانب])</f>
        <v>2</v>
      </c>
      <c r="O34" s="21">
        <f>SUM(برا[[عدد المنظمين ]])</f>
        <v>0</v>
      </c>
      <c r="P34" s="21">
        <f>SUM(برا[عدد الوسطاء])</f>
        <v>1</v>
      </c>
      <c r="Q34" s="21">
        <f>SUM(برا[العناصر الأمنية المورطة])</f>
        <v>0</v>
      </c>
      <c r="R34" s="21">
        <f>SUM(برا[منظمين و وسطاء مفتش عنهم])</f>
        <v>0</v>
      </c>
      <c r="S34" s="21">
        <f>SUM(برا[مفتش عنهم في قضايا حق عام])</f>
        <v>0</v>
      </c>
      <c r="T34" s="21">
        <f>SUM(برا[عناصر سلفية])</f>
        <v>0</v>
      </c>
      <c r="U34" s="21">
        <f>SUM(برا[مركب])</f>
        <v>0</v>
      </c>
      <c r="V34" s="21">
        <f>SUM(برا[محرك])</f>
        <v>0</v>
      </c>
      <c r="W34" s="21">
        <f>SUM(برا[زورق])</f>
        <v>0</v>
      </c>
      <c r="X34" s="21">
        <f>SUM(برا[سيارات])</f>
        <v>0</v>
      </c>
      <c r="Y34" s="21">
        <f>SUM(برا[شاحنة])</f>
        <v>0</v>
      </c>
      <c r="Z34" s="21">
        <f>SUM(برا[دراجة نارية])</f>
        <v>0</v>
      </c>
      <c r="AA34" s="21">
        <f>SUM(برا[د.التونسي])</f>
        <v>0</v>
      </c>
      <c r="AB34" s="21">
        <f>SUM(برا[الدولار])</f>
        <v>0</v>
      </c>
      <c r="AC34" s="21">
        <f>SUM(برا[الأورو])</f>
        <v>0</v>
      </c>
      <c r="AD34" s="21">
        <f>SUM(برا[هواتف])</f>
        <v>0</v>
      </c>
      <c r="AE34" s="21">
        <f>SUM(برا[حاويات بنزين])</f>
        <v>0</v>
      </c>
      <c r="AF34" s="21">
        <f>SUM(برا[بوصلة])</f>
        <v>0</v>
      </c>
      <c r="AG34" s="21">
        <f>SUM(برا[جمازات])</f>
        <v>0</v>
      </c>
      <c r="AH34" s="21"/>
      <c r="AI34" s="21"/>
      <c r="AJ34" s="78" t="str">
        <f>AJ2&amp;AJ3&amp;AJ4&amp;AJ5&amp;AJ6&amp;AJ7&amp;AJ8&amp;AJ9&amp;AJ10&amp;AJ11&amp;AJ12&amp;AJ13&amp;AJ14&amp;AJ15&amp;AJ16&amp;AJ17&amp;AJ18&amp;AJ19&amp;AJ20&amp;AJ21&amp;AJ22&amp;AJ23&amp;AJ24&amp;AJ25&amp;AJ26&amp;AJ27&amp;AJ28&amp;AJ29&amp;AJ30&amp;AJ31</f>
        <v xml:space="preserve">  جرار فلاحي + صهريج مياه</v>
      </c>
    </row>
  </sheetData>
  <sheetProtection sheet="1" objects="1" scenarios="1"/>
  <pageMargins left="0.25" right="0.25" top="0.75" bottom="0.75" header="0.3" footer="0.3"/>
  <pageSetup paperSize="9" scale="30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4" tint="-0.249977111117893"/>
    <pageSetUpPr fitToPage="1"/>
  </sheetPr>
  <dimension ref="A1:AL146"/>
  <sheetViews>
    <sheetView rightToLeft="1" view="pageBreakPreview" zoomScale="85" zoomScaleNormal="80" zoomScaleSheetLayoutView="85" workbookViewId="0">
      <selection activeCell="AL2" sqref="AL2:AL27"/>
    </sheetView>
  </sheetViews>
  <sheetFormatPr baseColWidth="10" defaultRowHeight="15"/>
  <cols>
    <col min="1" max="1" width="39.85546875" customWidth="1"/>
    <col min="2" max="2" width="27" customWidth="1"/>
    <col min="3" max="3" width="13.28515625" bestFit="1" customWidth="1"/>
    <col min="4" max="4" width="9.28515625" bestFit="1" customWidth="1"/>
    <col min="5" max="10" width="9.28515625" customWidth="1"/>
    <col min="11" max="11" width="11.28515625" customWidth="1"/>
    <col min="12" max="12" width="8" customWidth="1"/>
    <col min="13" max="13" width="14" bestFit="1" customWidth="1"/>
    <col min="14" max="14" width="14" customWidth="1"/>
    <col min="15" max="15" width="21.140625" bestFit="1" customWidth="1"/>
    <col min="16" max="16" width="21.140625" customWidth="1"/>
    <col min="17" max="17" width="20.42578125" bestFit="1" customWidth="1"/>
    <col min="18" max="18" width="20.42578125" customWidth="1"/>
    <col min="19" max="19" width="24.5703125" bestFit="1" customWidth="1"/>
    <col min="20" max="20" width="13" bestFit="1" customWidth="1"/>
    <col min="21" max="21" width="7.42578125" bestFit="1" customWidth="1"/>
    <col min="22" max="22" width="7.85546875" bestFit="1" customWidth="1"/>
    <col min="23" max="23" width="6.85546875" bestFit="1" customWidth="1"/>
    <col min="24" max="24" width="8.5703125" bestFit="1" customWidth="1"/>
    <col min="25" max="25" width="8.5703125" customWidth="1"/>
    <col min="26" max="26" width="11.28515625" bestFit="1" customWidth="1"/>
    <col min="27" max="27" width="12.42578125" customWidth="1"/>
    <col min="28" max="28" width="8.42578125" bestFit="1" customWidth="1"/>
    <col min="29" max="29" width="9.5703125" bestFit="1" customWidth="1"/>
    <col min="30" max="30" width="8.28515625" bestFit="1" customWidth="1"/>
    <col min="31" max="31" width="12.7109375" bestFit="1" customWidth="1"/>
    <col min="32" max="32" width="8" bestFit="1" customWidth="1"/>
    <col min="33" max="33" width="8.85546875" bestFit="1" customWidth="1"/>
    <col min="34" max="35" width="8.85546875" customWidth="1"/>
    <col min="36" max="36" width="48.7109375" customWidth="1"/>
    <col min="37" max="37" width="0.85546875" customWidth="1"/>
    <col min="38" max="38" width="27.7109375" customWidth="1"/>
    <col min="39" max="40" width="14.42578125" bestFit="1" customWidth="1"/>
    <col min="41" max="41" width="17.85546875" customWidth="1"/>
    <col min="42" max="42" width="21.7109375" bestFit="1" customWidth="1"/>
    <col min="43" max="46" width="14.42578125" bestFit="1" customWidth="1"/>
    <col min="47" max="55" width="13.42578125" bestFit="1" customWidth="1"/>
    <col min="56" max="56" width="6.5703125" bestFit="1" customWidth="1"/>
    <col min="57" max="57" width="5.7109375" bestFit="1" customWidth="1"/>
    <col min="58" max="58" width="10.42578125" bestFit="1" customWidth="1"/>
    <col min="59" max="59" width="6" bestFit="1" customWidth="1"/>
    <col min="60" max="60" width="5.140625" bestFit="1" customWidth="1"/>
    <col min="61" max="61" width="6.140625" bestFit="1" customWidth="1"/>
    <col min="62" max="62" width="8.28515625" bestFit="1" customWidth="1"/>
    <col min="63" max="63" width="9" bestFit="1" customWidth="1"/>
    <col min="64" max="64" width="6.28515625" bestFit="1" customWidth="1"/>
    <col min="65" max="65" width="4.5703125" bestFit="1" customWidth="1"/>
    <col min="66" max="66" width="5.5703125" bestFit="1" customWidth="1"/>
    <col min="67" max="67" width="5.140625" bestFit="1" customWidth="1"/>
    <col min="68" max="68" width="10.7109375" bestFit="1" customWidth="1"/>
    <col min="69" max="69" width="22.28515625" bestFit="1" customWidth="1"/>
    <col min="70" max="70" width="18.140625" bestFit="1" customWidth="1"/>
    <col min="71" max="71" width="18.85546875" bestFit="1" customWidth="1"/>
    <col min="72" max="72" width="11.7109375" bestFit="1" customWidth="1"/>
    <col min="73" max="73" width="5.7109375" bestFit="1" customWidth="1"/>
    <col min="74" max="74" width="7" bestFit="1" customWidth="1"/>
    <col min="75" max="75" width="11" bestFit="1" customWidth="1"/>
    <col min="76" max="76" width="22" bestFit="1" customWidth="1"/>
  </cols>
  <sheetData>
    <row r="1" spans="1:38" ht="45">
      <c r="A1" s="26" t="s">
        <v>15</v>
      </c>
      <c r="B1" s="26" t="s">
        <v>90</v>
      </c>
      <c r="C1" s="26" t="s">
        <v>14</v>
      </c>
      <c r="D1" s="26" t="s">
        <v>104</v>
      </c>
      <c r="E1" s="26" t="s">
        <v>105</v>
      </c>
      <c r="F1" s="26" t="s">
        <v>106</v>
      </c>
      <c r="G1" s="26" t="s">
        <v>107</v>
      </c>
      <c r="H1" s="26" t="s">
        <v>108</v>
      </c>
      <c r="I1" s="26" t="s">
        <v>109</v>
      </c>
      <c r="J1" s="26" t="s">
        <v>101</v>
      </c>
      <c r="K1" s="26" t="s">
        <v>102</v>
      </c>
      <c r="L1" s="26" t="s">
        <v>103</v>
      </c>
      <c r="M1" s="26" t="s">
        <v>78</v>
      </c>
      <c r="N1" s="26" t="s">
        <v>77</v>
      </c>
      <c r="O1" s="26" t="s">
        <v>79</v>
      </c>
      <c r="P1" s="26" t="s">
        <v>80</v>
      </c>
      <c r="Q1" s="26" t="s">
        <v>11</v>
      </c>
      <c r="R1" s="26" t="s">
        <v>83</v>
      </c>
      <c r="S1" s="26" t="s">
        <v>10</v>
      </c>
      <c r="T1" s="26" t="s">
        <v>9</v>
      </c>
      <c r="U1" s="26" t="s">
        <v>8</v>
      </c>
      <c r="V1" s="26" t="s">
        <v>7</v>
      </c>
      <c r="W1" s="26" t="s">
        <v>6</v>
      </c>
      <c r="X1" s="26" t="s">
        <v>5</v>
      </c>
      <c r="Y1" s="26" t="s">
        <v>96</v>
      </c>
      <c r="Z1" s="26" t="s">
        <v>67</v>
      </c>
      <c r="AA1" s="26" t="s">
        <v>4</v>
      </c>
      <c r="AB1" s="26" t="s">
        <v>66</v>
      </c>
      <c r="AC1" s="26" t="s">
        <v>65</v>
      </c>
      <c r="AD1" s="26" t="s">
        <v>3</v>
      </c>
      <c r="AE1" s="26" t="s">
        <v>85</v>
      </c>
      <c r="AF1" s="26" t="s">
        <v>1</v>
      </c>
      <c r="AG1" s="26" t="s">
        <v>0</v>
      </c>
      <c r="AH1" s="26" t="s">
        <v>112</v>
      </c>
      <c r="AI1" s="26" t="s">
        <v>113</v>
      </c>
      <c r="AJ1" s="26" t="s">
        <v>87</v>
      </c>
      <c r="AK1" s="16"/>
      <c r="AL1" s="37" t="s">
        <v>89</v>
      </c>
    </row>
    <row r="2" spans="1:38" ht="23.25">
      <c r="A2" s="38" t="s">
        <v>16</v>
      </c>
      <c r="B2" s="123"/>
      <c r="C2" s="123"/>
      <c r="D2" s="125"/>
      <c r="E2" s="126"/>
      <c r="F2" s="125"/>
      <c r="G2" s="126"/>
      <c r="H2" s="125"/>
      <c r="I2" s="126"/>
      <c r="J2" s="125"/>
      <c r="K2" s="123"/>
      <c r="L2" s="126"/>
      <c r="M2" s="125"/>
      <c r="N2" s="126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7"/>
      <c r="AK2" s="134"/>
      <c r="AL2" s="134"/>
    </row>
    <row r="3" spans="1:38" ht="23.25">
      <c r="A3" s="38" t="s">
        <v>17</v>
      </c>
      <c r="B3" s="123"/>
      <c r="C3" s="123"/>
      <c r="D3" s="125"/>
      <c r="E3" s="126"/>
      <c r="F3" s="125"/>
      <c r="G3" s="126"/>
      <c r="H3" s="125"/>
      <c r="I3" s="126"/>
      <c r="J3" s="125"/>
      <c r="K3" s="123"/>
      <c r="L3" s="126"/>
      <c r="M3" s="125"/>
      <c r="N3" s="126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34"/>
      <c r="AL3" s="134"/>
    </row>
    <row r="4" spans="1:38" ht="23.25">
      <c r="A4" s="38" t="s">
        <v>18</v>
      </c>
      <c r="B4" s="123"/>
      <c r="C4" s="123"/>
      <c r="D4" s="125"/>
      <c r="E4" s="126"/>
      <c r="F4" s="125"/>
      <c r="G4" s="126"/>
      <c r="H4" s="125"/>
      <c r="I4" s="126"/>
      <c r="J4" s="125"/>
      <c r="K4" s="123"/>
      <c r="L4" s="126"/>
      <c r="M4" s="125"/>
      <c r="N4" s="126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7"/>
      <c r="AK4" s="134"/>
      <c r="AL4" s="134"/>
    </row>
    <row r="5" spans="1:38" ht="23.25">
      <c r="A5" s="38" t="s">
        <v>19</v>
      </c>
      <c r="B5" s="123"/>
      <c r="C5" s="123"/>
      <c r="D5" s="125"/>
      <c r="E5" s="126"/>
      <c r="F5" s="125"/>
      <c r="G5" s="126"/>
      <c r="H5" s="125"/>
      <c r="I5" s="126"/>
      <c r="J5" s="125"/>
      <c r="K5" s="123"/>
      <c r="L5" s="126"/>
      <c r="M5" s="125"/>
      <c r="N5" s="126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7"/>
      <c r="AK5" s="134"/>
      <c r="AL5" s="134"/>
    </row>
    <row r="6" spans="1:38" ht="23.25">
      <c r="A6" s="38" t="s">
        <v>20</v>
      </c>
      <c r="B6" s="123"/>
      <c r="C6" s="123"/>
      <c r="D6" s="125"/>
      <c r="E6" s="126"/>
      <c r="F6" s="125"/>
      <c r="G6" s="126"/>
      <c r="H6" s="125"/>
      <c r="I6" s="126"/>
      <c r="J6" s="125"/>
      <c r="K6" s="123"/>
      <c r="L6" s="126"/>
      <c r="M6" s="125"/>
      <c r="N6" s="126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7"/>
      <c r="AK6" s="134"/>
      <c r="AL6" s="134"/>
    </row>
    <row r="7" spans="1:38" ht="42" customHeight="1">
      <c r="A7" s="38" t="s">
        <v>21</v>
      </c>
      <c r="B7" s="123"/>
      <c r="C7" s="123"/>
      <c r="D7" s="125"/>
      <c r="E7" s="126"/>
      <c r="F7" s="125"/>
      <c r="G7" s="126"/>
      <c r="H7" s="125"/>
      <c r="I7" s="126"/>
      <c r="J7" s="125"/>
      <c r="K7" s="123"/>
      <c r="L7" s="126"/>
      <c r="M7" s="125"/>
      <c r="N7" s="126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7"/>
      <c r="AK7" s="134"/>
      <c r="AL7" s="135"/>
    </row>
    <row r="8" spans="1:38" ht="23.25">
      <c r="A8" s="38" t="s">
        <v>22</v>
      </c>
      <c r="B8" s="123"/>
      <c r="C8" s="123"/>
      <c r="D8" s="125"/>
      <c r="E8" s="126"/>
      <c r="F8" s="125"/>
      <c r="G8" s="126"/>
      <c r="H8" s="125"/>
      <c r="I8" s="126"/>
      <c r="J8" s="125"/>
      <c r="K8" s="123"/>
      <c r="L8" s="126"/>
      <c r="M8" s="125"/>
      <c r="N8" s="126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7"/>
      <c r="AK8" s="134"/>
      <c r="AL8" s="134"/>
    </row>
    <row r="9" spans="1:38" ht="23.25">
      <c r="A9" s="38" t="s">
        <v>23</v>
      </c>
      <c r="B9" s="123"/>
      <c r="C9" s="123"/>
      <c r="D9" s="125"/>
      <c r="E9" s="126"/>
      <c r="F9" s="125"/>
      <c r="G9" s="126"/>
      <c r="H9" s="125"/>
      <c r="I9" s="126"/>
      <c r="J9" s="125"/>
      <c r="K9" s="123"/>
      <c r="L9" s="126"/>
      <c r="M9" s="125"/>
      <c r="N9" s="126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7"/>
      <c r="AK9" s="134"/>
      <c r="AL9" s="134"/>
    </row>
    <row r="10" spans="1:38" ht="23.25">
      <c r="A10" s="38" t="s">
        <v>24</v>
      </c>
      <c r="B10" s="123"/>
      <c r="C10" s="123"/>
      <c r="D10" s="125"/>
      <c r="E10" s="126"/>
      <c r="F10" s="125"/>
      <c r="G10" s="126"/>
      <c r="H10" s="125"/>
      <c r="I10" s="126"/>
      <c r="J10" s="125"/>
      <c r="K10" s="123"/>
      <c r="L10" s="126"/>
      <c r="M10" s="125"/>
      <c r="N10" s="126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7"/>
      <c r="AK10" s="134"/>
      <c r="AL10" s="134"/>
    </row>
    <row r="11" spans="1:38" ht="23.25">
      <c r="A11" s="38" t="s">
        <v>25</v>
      </c>
      <c r="B11" s="123"/>
      <c r="C11" s="123"/>
      <c r="D11" s="125"/>
      <c r="E11" s="126"/>
      <c r="F11" s="125"/>
      <c r="G11" s="126"/>
      <c r="H11" s="125"/>
      <c r="I11" s="126"/>
      <c r="J11" s="125"/>
      <c r="K11" s="123"/>
      <c r="L11" s="126"/>
      <c r="M11" s="125"/>
      <c r="N11" s="126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7"/>
      <c r="AK11" s="134"/>
      <c r="AL11" s="134"/>
    </row>
    <row r="12" spans="1:38" ht="23.25">
      <c r="A12" s="38" t="s">
        <v>68</v>
      </c>
      <c r="B12" s="123"/>
      <c r="C12" s="123"/>
      <c r="D12" s="125"/>
      <c r="E12" s="126"/>
      <c r="F12" s="125"/>
      <c r="G12" s="126"/>
      <c r="H12" s="125"/>
      <c r="I12" s="126"/>
      <c r="J12" s="125"/>
      <c r="K12" s="123"/>
      <c r="L12" s="126"/>
      <c r="M12" s="125"/>
      <c r="N12" s="126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7"/>
      <c r="AK12" s="134"/>
      <c r="AL12" s="134"/>
    </row>
    <row r="13" spans="1:38" ht="23.25">
      <c r="A13" s="38" t="s">
        <v>26</v>
      </c>
      <c r="B13" s="123"/>
      <c r="C13" s="123"/>
      <c r="D13" s="125"/>
      <c r="E13" s="126"/>
      <c r="F13" s="125"/>
      <c r="G13" s="126"/>
      <c r="H13" s="125"/>
      <c r="I13" s="126"/>
      <c r="J13" s="125"/>
      <c r="K13" s="123"/>
      <c r="L13" s="126"/>
      <c r="M13" s="125"/>
      <c r="N13" s="126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7"/>
      <c r="AK13" s="134"/>
      <c r="AL13" s="134"/>
    </row>
    <row r="14" spans="1:38" ht="23.25">
      <c r="A14" s="38" t="s">
        <v>27</v>
      </c>
      <c r="B14" s="123"/>
      <c r="C14" s="123"/>
      <c r="D14" s="125"/>
      <c r="E14" s="126"/>
      <c r="F14" s="125"/>
      <c r="G14" s="126"/>
      <c r="H14" s="125"/>
      <c r="I14" s="126"/>
      <c r="J14" s="125"/>
      <c r="K14" s="123"/>
      <c r="L14" s="126"/>
      <c r="M14" s="125"/>
      <c r="N14" s="126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7"/>
      <c r="AK14" s="134"/>
      <c r="AL14" s="134"/>
    </row>
    <row r="15" spans="1:38" ht="23.25">
      <c r="A15" s="38" t="s">
        <v>28</v>
      </c>
      <c r="B15" s="123"/>
      <c r="C15" s="123"/>
      <c r="D15" s="125"/>
      <c r="E15" s="126"/>
      <c r="F15" s="125"/>
      <c r="G15" s="126"/>
      <c r="H15" s="125"/>
      <c r="I15" s="126"/>
      <c r="J15" s="125"/>
      <c r="K15" s="123"/>
      <c r="L15" s="126"/>
      <c r="M15" s="125"/>
      <c r="N15" s="126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7"/>
      <c r="AK15" s="134"/>
      <c r="AL15" s="134"/>
    </row>
    <row r="16" spans="1:38" ht="23.25">
      <c r="A16" s="38" t="s">
        <v>29</v>
      </c>
      <c r="B16" s="123"/>
      <c r="C16" s="123"/>
      <c r="D16" s="125"/>
      <c r="E16" s="126"/>
      <c r="F16" s="125"/>
      <c r="G16" s="126"/>
      <c r="H16" s="125"/>
      <c r="I16" s="126"/>
      <c r="J16" s="125"/>
      <c r="K16" s="123"/>
      <c r="L16" s="126"/>
      <c r="M16" s="125"/>
      <c r="N16" s="126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7"/>
      <c r="AK16" s="134"/>
      <c r="AL16" s="134"/>
    </row>
    <row r="17" spans="1:38" ht="23.25">
      <c r="A17" s="38" t="s">
        <v>30</v>
      </c>
      <c r="B17" s="123"/>
      <c r="C17" s="123"/>
      <c r="D17" s="125"/>
      <c r="E17" s="126"/>
      <c r="F17" s="125"/>
      <c r="G17" s="126"/>
      <c r="H17" s="125"/>
      <c r="I17" s="126"/>
      <c r="J17" s="125"/>
      <c r="K17" s="123"/>
      <c r="L17" s="126"/>
      <c r="M17" s="125"/>
      <c r="N17" s="126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7"/>
      <c r="AK17" s="134"/>
      <c r="AL17" s="134"/>
    </row>
    <row r="18" spans="1:38" ht="23.25">
      <c r="A18" s="38" t="s">
        <v>31</v>
      </c>
      <c r="B18" s="123"/>
      <c r="C18" s="123"/>
      <c r="D18" s="125"/>
      <c r="E18" s="126"/>
      <c r="F18" s="125"/>
      <c r="G18" s="126"/>
      <c r="H18" s="125"/>
      <c r="I18" s="126"/>
      <c r="J18" s="125"/>
      <c r="K18" s="123"/>
      <c r="L18" s="126"/>
      <c r="M18" s="125"/>
      <c r="N18" s="126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7"/>
      <c r="AK18" s="134"/>
      <c r="AL18" s="134"/>
    </row>
    <row r="19" spans="1:38" ht="23.25">
      <c r="A19" s="38" t="s">
        <v>32</v>
      </c>
      <c r="B19" s="123"/>
      <c r="C19" s="123"/>
      <c r="D19" s="125"/>
      <c r="E19" s="126"/>
      <c r="F19" s="125"/>
      <c r="G19" s="126"/>
      <c r="H19" s="125"/>
      <c r="I19" s="126"/>
      <c r="J19" s="125"/>
      <c r="K19" s="123"/>
      <c r="L19" s="126"/>
      <c r="M19" s="125"/>
      <c r="N19" s="126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7"/>
      <c r="AK19" s="134"/>
      <c r="AL19" s="134"/>
    </row>
    <row r="20" spans="1:38" ht="23.25">
      <c r="A20" s="38" t="s">
        <v>33</v>
      </c>
      <c r="B20" s="123"/>
      <c r="C20" s="123"/>
      <c r="D20" s="125"/>
      <c r="E20" s="126"/>
      <c r="F20" s="125"/>
      <c r="G20" s="126"/>
      <c r="H20" s="125"/>
      <c r="I20" s="126"/>
      <c r="J20" s="125"/>
      <c r="K20" s="123"/>
      <c r="L20" s="126"/>
      <c r="M20" s="125"/>
      <c r="N20" s="126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7"/>
      <c r="AK20" s="134"/>
      <c r="AL20" s="134"/>
    </row>
    <row r="21" spans="1:38" ht="23.25">
      <c r="A21" s="38" t="s">
        <v>34</v>
      </c>
      <c r="B21" s="123"/>
      <c r="C21" s="123"/>
      <c r="D21" s="125"/>
      <c r="E21" s="126"/>
      <c r="F21" s="125"/>
      <c r="G21" s="126"/>
      <c r="H21" s="125"/>
      <c r="I21" s="126"/>
      <c r="J21" s="125"/>
      <c r="K21" s="123"/>
      <c r="L21" s="126"/>
      <c r="M21" s="125"/>
      <c r="N21" s="126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7"/>
      <c r="AK21" s="134"/>
      <c r="AL21" s="134"/>
    </row>
    <row r="22" spans="1:38" ht="23.25">
      <c r="A22" s="38" t="s">
        <v>35</v>
      </c>
      <c r="B22" s="123"/>
      <c r="C22" s="123"/>
      <c r="D22" s="125"/>
      <c r="E22" s="126"/>
      <c r="F22" s="125"/>
      <c r="G22" s="126"/>
      <c r="H22" s="125"/>
      <c r="I22" s="126"/>
      <c r="J22" s="125"/>
      <c r="K22" s="123"/>
      <c r="L22" s="126"/>
      <c r="M22" s="125"/>
      <c r="N22" s="126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7"/>
      <c r="AK22" s="134"/>
      <c r="AL22" s="134"/>
    </row>
    <row r="23" spans="1:38" ht="23.25">
      <c r="A23" s="38" t="s">
        <v>36</v>
      </c>
      <c r="B23" s="123"/>
      <c r="C23" s="123"/>
      <c r="D23" s="125"/>
      <c r="E23" s="126"/>
      <c r="F23" s="125"/>
      <c r="G23" s="126"/>
      <c r="H23" s="125"/>
      <c r="I23" s="126"/>
      <c r="J23" s="125"/>
      <c r="K23" s="123"/>
      <c r="L23" s="126"/>
      <c r="M23" s="125"/>
      <c r="N23" s="126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7"/>
      <c r="AK23" s="134"/>
      <c r="AL23" s="134"/>
    </row>
    <row r="24" spans="1:38" ht="23.25">
      <c r="A24" s="38" t="s">
        <v>37</v>
      </c>
      <c r="B24" s="123"/>
      <c r="C24" s="123"/>
      <c r="D24" s="125"/>
      <c r="E24" s="126"/>
      <c r="F24" s="125"/>
      <c r="G24" s="126"/>
      <c r="H24" s="125"/>
      <c r="I24" s="126"/>
      <c r="J24" s="125"/>
      <c r="K24" s="123"/>
      <c r="L24" s="126"/>
      <c r="M24" s="125"/>
      <c r="N24" s="126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7"/>
      <c r="AK24" s="134"/>
      <c r="AL24" s="134"/>
    </row>
    <row r="25" spans="1:38" ht="23.25">
      <c r="A25" s="38" t="s">
        <v>38</v>
      </c>
      <c r="B25" s="123"/>
      <c r="C25" s="129"/>
      <c r="D25" s="130"/>
      <c r="E25" s="131"/>
      <c r="F25" s="128"/>
      <c r="G25" s="128"/>
      <c r="H25" s="130"/>
      <c r="I25" s="131"/>
      <c r="J25" s="128"/>
      <c r="K25" s="128"/>
      <c r="L25" s="128"/>
      <c r="M25" s="130"/>
      <c r="N25" s="131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32"/>
      <c r="AK25" s="134"/>
      <c r="AL25" s="194"/>
    </row>
    <row r="26" spans="1:38" ht="23.25">
      <c r="A26" s="38" t="s">
        <v>39</v>
      </c>
      <c r="B26" s="123"/>
      <c r="C26" s="123"/>
      <c r="D26" s="125"/>
      <c r="E26" s="126"/>
      <c r="F26" s="125"/>
      <c r="G26" s="126"/>
      <c r="H26" s="125"/>
      <c r="I26" s="126"/>
      <c r="J26" s="125"/>
      <c r="K26" s="123"/>
      <c r="L26" s="126"/>
      <c r="M26" s="125"/>
      <c r="N26" s="126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7"/>
      <c r="AK26" s="134"/>
      <c r="AL26" s="134"/>
    </row>
    <row r="27" spans="1:38" ht="23.25">
      <c r="A27" s="38" t="s">
        <v>40</v>
      </c>
      <c r="B27" s="197"/>
      <c r="C27" s="123"/>
      <c r="D27" s="125"/>
      <c r="E27" s="126"/>
      <c r="F27" s="125"/>
      <c r="G27" s="126"/>
      <c r="H27" s="125"/>
      <c r="I27" s="126"/>
      <c r="J27" s="125"/>
      <c r="K27" s="123"/>
      <c r="L27" s="126"/>
      <c r="M27" s="125"/>
      <c r="N27" s="126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7"/>
      <c r="AK27" s="134"/>
      <c r="AL27" s="161"/>
    </row>
    <row r="28" spans="1:38" ht="23.25">
      <c r="A28" s="38" t="s">
        <v>41</v>
      </c>
      <c r="B28" s="123"/>
      <c r="C28" s="129"/>
      <c r="D28" s="130"/>
      <c r="E28" s="131"/>
      <c r="F28" s="128"/>
      <c r="G28" s="128"/>
      <c r="H28" s="130"/>
      <c r="I28" s="131"/>
      <c r="J28" s="128"/>
      <c r="K28" s="128"/>
      <c r="L28" s="128"/>
      <c r="M28" s="130"/>
      <c r="N28" s="131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32"/>
      <c r="AK28" s="134"/>
      <c r="AL28" s="134"/>
    </row>
    <row r="29" spans="1:38" ht="23.25">
      <c r="A29" s="38" t="s">
        <v>42</v>
      </c>
      <c r="B29" s="128"/>
      <c r="C29" s="129"/>
      <c r="D29" s="130"/>
      <c r="E29" s="131"/>
      <c r="F29" s="128"/>
      <c r="G29" s="128"/>
      <c r="H29" s="130"/>
      <c r="I29" s="131"/>
      <c r="J29" s="128"/>
      <c r="K29" s="128"/>
      <c r="L29" s="128"/>
      <c r="M29" s="130"/>
      <c r="N29" s="131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32"/>
      <c r="AK29" s="134"/>
      <c r="AL29" s="134"/>
    </row>
    <row r="30" spans="1:38" ht="23.25">
      <c r="A30" s="38" t="s">
        <v>43</v>
      </c>
      <c r="B30" s="128"/>
      <c r="C30" s="129"/>
      <c r="D30" s="130"/>
      <c r="E30" s="131"/>
      <c r="F30" s="128"/>
      <c r="G30" s="128"/>
      <c r="H30" s="130"/>
      <c r="I30" s="131"/>
      <c r="J30" s="128"/>
      <c r="K30" s="128"/>
      <c r="L30" s="128"/>
      <c r="M30" s="130"/>
      <c r="N30" s="131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32"/>
      <c r="AK30" s="134"/>
      <c r="AL30" s="134"/>
    </row>
    <row r="31" spans="1:38" ht="23.25">
      <c r="A31" s="38" t="s">
        <v>44</v>
      </c>
      <c r="B31" s="128"/>
      <c r="C31" s="129"/>
      <c r="D31" s="130"/>
      <c r="E31" s="131"/>
      <c r="F31" s="128"/>
      <c r="G31" s="128"/>
      <c r="H31" s="130"/>
      <c r="I31" s="131"/>
      <c r="J31" s="128"/>
      <c r="K31" s="128"/>
      <c r="L31" s="128"/>
      <c r="M31" s="130"/>
      <c r="N31" s="131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33"/>
      <c r="AK31" s="134"/>
      <c r="AL31" s="134"/>
    </row>
    <row r="32" spans="1:38" ht="15.75" thickBot="1">
      <c r="D32" s="32"/>
      <c r="E32" s="33"/>
      <c r="F32" s="34"/>
      <c r="G32" s="34"/>
      <c r="H32" s="32"/>
      <c r="I32" s="33"/>
      <c r="J32" s="34"/>
      <c r="K32" s="34"/>
      <c r="L32" s="34"/>
      <c r="M32" s="32"/>
      <c r="N32" s="33"/>
    </row>
    <row r="33" spans="1:36" ht="35.25" customHeight="1">
      <c r="A33" s="22" t="s">
        <v>15</v>
      </c>
      <c r="B33" s="23" t="s">
        <v>90</v>
      </c>
      <c r="C33" s="23" t="s">
        <v>14</v>
      </c>
      <c r="D33" s="31" t="s">
        <v>104</v>
      </c>
      <c r="E33" s="31" t="s">
        <v>105</v>
      </c>
      <c r="F33" s="31" t="s">
        <v>106</v>
      </c>
      <c r="G33" s="31" t="s">
        <v>107</v>
      </c>
      <c r="H33" s="31" t="s">
        <v>108</v>
      </c>
      <c r="I33" s="31" t="s">
        <v>109</v>
      </c>
      <c r="J33" s="31" t="s">
        <v>101</v>
      </c>
      <c r="K33" s="31" t="s">
        <v>102</v>
      </c>
      <c r="L33" s="31" t="s">
        <v>103</v>
      </c>
      <c r="M33" s="31" t="s">
        <v>78</v>
      </c>
      <c r="N33" s="31" t="s">
        <v>77</v>
      </c>
      <c r="O33" s="23" t="s">
        <v>79</v>
      </c>
      <c r="P33" s="23" t="s">
        <v>80</v>
      </c>
      <c r="Q33" s="23" t="s">
        <v>11</v>
      </c>
      <c r="R33" s="23" t="s">
        <v>83</v>
      </c>
      <c r="S33" s="23" t="s">
        <v>10</v>
      </c>
      <c r="T33" s="23" t="s">
        <v>9</v>
      </c>
      <c r="U33" s="23" t="s">
        <v>8</v>
      </c>
      <c r="V33" s="23" t="s">
        <v>7</v>
      </c>
      <c r="W33" s="23" t="s">
        <v>6</v>
      </c>
      <c r="X33" s="23" t="s">
        <v>5</v>
      </c>
      <c r="Y33" s="23" t="s">
        <v>96</v>
      </c>
      <c r="Z33" s="23" t="s">
        <v>67</v>
      </c>
      <c r="AA33" s="23" t="s">
        <v>4</v>
      </c>
      <c r="AB33" s="23" t="s">
        <v>66</v>
      </c>
      <c r="AC33" s="23" t="s">
        <v>65</v>
      </c>
      <c r="AD33" s="23" t="s">
        <v>3</v>
      </c>
      <c r="AE33" s="23" t="s">
        <v>85</v>
      </c>
      <c r="AF33" s="23" t="s">
        <v>1</v>
      </c>
      <c r="AG33" s="23" t="s">
        <v>0</v>
      </c>
      <c r="AH33" s="23" t="s">
        <v>112</v>
      </c>
      <c r="AI33" s="23" t="s">
        <v>113</v>
      </c>
      <c r="AJ33" s="23" t="s">
        <v>87</v>
      </c>
    </row>
    <row r="34" spans="1:36" ht="28.5" hidden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21"/>
      <c r="N34" s="21"/>
      <c r="O34" s="21"/>
      <c r="P34" s="21"/>
      <c r="Q34" s="21"/>
      <c r="R34" s="21"/>
      <c r="S34" s="21"/>
      <c r="T34" s="21"/>
      <c r="U34" s="21">
        <f>برا!U34</f>
        <v>0</v>
      </c>
      <c r="V34" s="21">
        <f>برا!V34</f>
        <v>0</v>
      </c>
      <c r="W34" s="21">
        <f>برا!W34</f>
        <v>0</v>
      </c>
      <c r="X34" s="21">
        <f>برا!X34</f>
        <v>0</v>
      </c>
      <c r="Y34" s="21">
        <f>برا!Y34</f>
        <v>0</v>
      </c>
      <c r="Z34" s="21">
        <f>برا!Z34</f>
        <v>0</v>
      </c>
      <c r="AA34" s="21">
        <f>برا!AA34</f>
        <v>0</v>
      </c>
      <c r="AB34" s="21">
        <f>برا!AB34</f>
        <v>0</v>
      </c>
      <c r="AC34" s="21">
        <f>برا!AC34</f>
        <v>0</v>
      </c>
      <c r="AD34" s="21">
        <f>برا!AD34</f>
        <v>0</v>
      </c>
      <c r="AE34" s="21">
        <f>برا!AE34</f>
        <v>0</v>
      </c>
      <c r="AF34" s="21">
        <f>برا!AF34</f>
        <v>0</v>
      </c>
      <c r="AG34" s="21">
        <f>برا!AG34</f>
        <v>0</v>
      </c>
      <c r="AH34" s="21">
        <f>برا!AH34</f>
        <v>0</v>
      </c>
      <c r="AI34" s="21">
        <f>برا!AI34</f>
        <v>0</v>
      </c>
      <c r="AJ34" s="21" t="str">
        <f>IF(برا!AJ34=0,"",برا!AJ34)</f>
        <v xml:space="preserve">  جرار فلاحي + صهريج مياه</v>
      </c>
    </row>
    <row r="35" spans="1:36" ht="25.9" customHeight="1">
      <c r="A35" s="39"/>
      <c r="B35" s="39"/>
      <c r="C35" s="21">
        <f>SUM(بحرا[عدد العمليات])</f>
        <v>0</v>
      </c>
      <c r="D35" s="21">
        <f>SUM(بحرا[تونسيين ذكور])</f>
        <v>0</v>
      </c>
      <c r="E35" s="21">
        <f>SUM(بحرا[تونسيين اناث])</f>
        <v>0</v>
      </c>
      <c r="F35" s="21">
        <f>SUM(بحرا[افارقة ذكور])</f>
        <v>0</v>
      </c>
      <c r="G35" s="21">
        <f>SUM(بحرا[افارقة اناث])</f>
        <v>0</v>
      </c>
      <c r="H35" s="21">
        <f>SUM(بحرا[جنسيات أخرى ذكور])</f>
        <v>0</v>
      </c>
      <c r="I35" s="21">
        <f>SUM(بحرا[جنسيات أخرى اناث])</f>
        <v>0</v>
      </c>
      <c r="J35" s="21">
        <f>SUM(بحرا[أقل من 18 سنة])</f>
        <v>0</v>
      </c>
      <c r="K35" s="21">
        <f>SUM(بحرا[بين 18و 40سنة])</f>
        <v>0</v>
      </c>
      <c r="L35" s="21">
        <f>SUM(بحرا[أكثر من40 سنة])</f>
        <v>0</v>
      </c>
      <c r="M35" s="21">
        <f>SUM(بحرا[عدد الموقوفين تونسيين])</f>
        <v>0</v>
      </c>
      <c r="N35" s="21">
        <f>SUM(بحرا[عدد الموقوفين أجانب])</f>
        <v>0</v>
      </c>
      <c r="O35" s="21">
        <f>SUM(بحرا[[عدد المنظمين ]])</f>
        <v>0</v>
      </c>
      <c r="P35" s="21">
        <f>SUM(بحرا[عدد الوسطاء])</f>
        <v>0</v>
      </c>
      <c r="Q35" s="21">
        <f>SUM(بحرا[العناصر الأمنية المورطة])</f>
        <v>0</v>
      </c>
      <c r="R35" s="21">
        <f>SUM(بحرا[منظمين و وسطاء مفتش عنهم])</f>
        <v>0</v>
      </c>
      <c r="S35" s="21">
        <f>SUM(بحرا[مفتش عنهم في قضايا حق عام])</f>
        <v>0</v>
      </c>
      <c r="T35" s="21">
        <f>SUM(بحرا[عناصر سلفية])</f>
        <v>0</v>
      </c>
      <c r="U35" s="21">
        <f>SUM(بحرا[مركب])</f>
        <v>0</v>
      </c>
      <c r="V35" s="21">
        <f>SUM(بحرا[محرك])</f>
        <v>0</v>
      </c>
      <c r="W35" s="21">
        <f>SUM(بحرا[زورق])</f>
        <v>0</v>
      </c>
      <c r="X35" s="21">
        <f>SUM(بحرا[سيارات])</f>
        <v>0</v>
      </c>
      <c r="Y35" s="21">
        <f>SUM(بحرا[شاحنة])</f>
        <v>0</v>
      </c>
      <c r="Z35" s="21">
        <f>SUM(بحرا[دراجة نارية])</f>
        <v>0</v>
      </c>
      <c r="AA35" s="21">
        <f>SUM(بحرا[د.التونسي])</f>
        <v>0</v>
      </c>
      <c r="AB35" s="21">
        <f>SUM(بحرا[الدولار])</f>
        <v>0</v>
      </c>
      <c r="AC35" s="35">
        <f>SUM(بحرا[الأورو])</f>
        <v>0</v>
      </c>
      <c r="AD35" s="21">
        <f>SUM(بحرا[هواتف])</f>
        <v>0</v>
      </c>
      <c r="AE35" s="21">
        <f>SUM(بحرا[[ بنزين]])</f>
        <v>0</v>
      </c>
      <c r="AF35" s="21">
        <f>SUM(بحرا[بوصلة])</f>
        <v>0</v>
      </c>
      <c r="AG35" s="21">
        <f>SUM(بحرا[جمازات])</f>
        <v>0</v>
      </c>
      <c r="AH35" s="21">
        <f>SUM(بحرا[كاياك])</f>
        <v>0</v>
      </c>
      <c r="AI35" s="21">
        <f>SUM(بحرا[ناقلة])</f>
        <v>0</v>
      </c>
      <c r="AJ35" s="165" t="str">
        <f>AJ2&amp;AJ3&amp;AJ4&amp;AJ5&amp;AJ6&amp;AJ7&amp;AJ8&amp;AJ9&amp;AJ10&amp;AJ11&amp;AJ12&amp;AJ13&amp;AJ14&amp;AJ15&amp;AJ16&amp;AJ17&amp;AJ18&amp;AJ19&amp;AJ20&amp;AJ21&amp;AJ22&amp;AJ23&amp;AJ24&amp;AJ25&amp;AJ26&amp;AJ27&amp;AJ28&amp;AJ29&amp;AJ30&amp;AJ31</f>
        <v/>
      </c>
    </row>
    <row r="36" spans="1:36" ht="28.5" hidden="1">
      <c r="A36" s="19" t="s">
        <v>97</v>
      </c>
      <c r="B36" s="20"/>
      <c r="C36" s="21">
        <f>SUM(بحرا[عدد العمليات])</f>
        <v>0</v>
      </c>
      <c r="D36" s="21">
        <f>SUM(بحرا[تونسيين ذكور])</f>
        <v>0</v>
      </c>
      <c r="E36" s="21">
        <f>SUM(بحرا[تونسيين اناث])</f>
        <v>0</v>
      </c>
      <c r="F36" s="21">
        <f>SUM(بحرا[افارقة ذكور])</f>
        <v>0</v>
      </c>
      <c r="G36" s="21">
        <f>SUM(بحرا[افارقة اناث])</f>
        <v>0</v>
      </c>
      <c r="H36" s="21">
        <f>SUM(بحرا[جنسيات أخرى ذكور])</f>
        <v>0</v>
      </c>
      <c r="I36" s="21">
        <f>SUM(بحرا[جنسيات أخرى اناث])</f>
        <v>0</v>
      </c>
      <c r="J36" s="21">
        <f>SUM(بحرا[أقل من 18 سنة])</f>
        <v>0</v>
      </c>
      <c r="K36" s="21">
        <f>SUM(بحرا[بين 18و 40سنة])</f>
        <v>0</v>
      </c>
      <c r="L36" s="21">
        <f>SUM(بحرا[أكثر من40 سنة])</f>
        <v>0</v>
      </c>
      <c r="M36" s="21">
        <f>SUM(بحرا[عدد الموقوفين تونسيين])</f>
        <v>0</v>
      </c>
      <c r="N36" s="21">
        <f>SUM(بحرا[عدد الموقوفين أجانب])</f>
        <v>0</v>
      </c>
      <c r="O36" s="21">
        <f>SUM(بحرا[[عدد المنظمين ]])</f>
        <v>0</v>
      </c>
      <c r="P36" s="21">
        <f>SUM(بحرا[عدد الوسطاء])</f>
        <v>0</v>
      </c>
      <c r="Q36" s="21">
        <f>SUM(بحرا[العناصر الأمنية المورطة])</f>
        <v>0</v>
      </c>
      <c r="R36" s="21">
        <f>SUM(بحرا[منظمين و وسطاء مفتش عنهم])</f>
        <v>0</v>
      </c>
      <c r="S36" s="21">
        <f>SUM(بحرا[مفتش عنهم في قضايا حق عام])</f>
        <v>0</v>
      </c>
      <c r="T36" s="21">
        <f>SUM(بحرا[عناصر سلفية])</f>
        <v>0</v>
      </c>
      <c r="U36" s="21">
        <f>U35+U34</f>
        <v>0</v>
      </c>
      <c r="V36" s="21">
        <f t="shared" ref="V36:AI36" si="0">V35+V34</f>
        <v>0</v>
      </c>
      <c r="W36" s="21">
        <f t="shared" si="0"/>
        <v>0</v>
      </c>
      <c r="X36" s="21">
        <f t="shared" si="0"/>
        <v>0</v>
      </c>
      <c r="Y36" s="21">
        <f t="shared" si="0"/>
        <v>0</v>
      </c>
      <c r="Z36" s="21">
        <f t="shared" si="0"/>
        <v>0</v>
      </c>
      <c r="AA36" s="21">
        <f t="shared" si="0"/>
        <v>0</v>
      </c>
      <c r="AB36" s="21">
        <f t="shared" si="0"/>
        <v>0</v>
      </c>
      <c r="AC36" s="21">
        <f t="shared" si="0"/>
        <v>0</v>
      </c>
      <c r="AD36" s="21">
        <f t="shared" si="0"/>
        <v>0</v>
      </c>
      <c r="AE36" s="21">
        <f t="shared" si="0"/>
        <v>0</v>
      </c>
      <c r="AF36" s="21">
        <f t="shared" si="0"/>
        <v>0</v>
      </c>
      <c r="AG36" s="21">
        <f t="shared" si="0"/>
        <v>0</v>
      </c>
      <c r="AH36" s="21">
        <f t="shared" si="0"/>
        <v>0</v>
      </c>
      <c r="AI36" s="21">
        <f t="shared" si="0"/>
        <v>0</v>
      </c>
      <c r="AJ36" s="76" t="str">
        <f>AJ35&amp;AJ34</f>
        <v xml:space="preserve">  جرار فلاحي + صهريج مياه</v>
      </c>
    </row>
    <row r="45" spans="1:36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</row>
    <row r="46" spans="1:36">
      <c r="A46" s="148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</row>
    <row r="47" spans="1:36">
      <c r="A47" s="148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</row>
    <row r="48" spans="1:36">
      <c r="A48" s="148"/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</row>
    <row r="49" spans="1:36">
      <c r="A49" s="148"/>
      <c r="B49" s="148"/>
      <c r="C49" s="148"/>
      <c r="D49" s="148"/>
      <c r="E49" s="148"/>
      <c r="F49" s="148"/>
      <c r="G49" s="149"/>
      <c r="H49" s="149"/>
      <c r="I49" s="149"/>
      <c r="J49" s="149"/>
      <c r="K49" s="149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</row>
    <row r="50" spans="1:36">
      <c r="A50" s="148"/>
      <c r="B50" s="148"/>
      <c r="C50" s="148"/>
      <c r="D50" s="148"/>
      <c r="E50" s="148"/>
      <c r="F50" s="148"/>
      <c r="G50" s="149"/>
      <c r="H50" s="149"/>
      <c r="I50" s="149"/>
      <c r="J50" s="149"/>
      <c r="K50" s="149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</row>
    <row r="51" spans="1:36">
      <c r="A51" s="148"/>
      <c r="B51" s="148"/>
      <c r="C51" s="148"/>
      <c r="D51" s="148"/>
      <c r="E51" s="148"/>
      <c r="F51" s="148"/>
      <c r="G51" s="149"/>
      <c r="H51" s="149"/>
      <c r="I51" s="146"/>
      <c r="J51" s="149"/>
      <c r="K51" s="149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</row>
    <row r="52" spans="1:36">
      <c r="A52" s="148"/>
      <c r="B52" s="148"/>
      <c r="C52" s="148"/>
      <c r="D52" s="148"/>
      <c r="E52" s="148"/>
      <c r="F52" s="148"/>
      <c r="G52" s="149"/>
      <c r="H52" s="149"/>
      <c r="I52" s="147"/>
      <c r="J52" s="149"/>
      <c r="K52" s="149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</row>
    <row r="53" spans="1:36">
      <c r="A53" s="148"/>
      <c r="B53" s="148"/>
      <c r="C53" s="148"/>
      <c r="D53" s="148"/>
      <c r="E53" s="148"/>
      <c r="F53" s="148"/>
      <c r="G53" s="149"/>
      <c r="H53" s="149"/>
      <c r="I53" s="155" t="str">
        <f>IF(U36=0,"",IF(U36=1," + عدد 1 مركب ",IF(AND(U36&gt;=2,U36&lt;=10),"+ عدد "&amp;U36&amp;" مراكب ","+ عدد "&amp;U36&amp;" مركب")))</f>
        <v/>
      </c>
      <c r="J53" s="154"/>
      <c r="K53" s="149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</row>
    <row r="54" spans="1:36">
      <c r="A54" s="148"/>
      <c r="B54" s="148"/>
      <c r="C54" s="148"/>
      <c r="D54" s="148"/>
      <c r="E54" s="148"/>
      <c r="F54" s="148"/>
      <c r="G54" s="149"/>
      <c r="H54" s="149"/>
      <c r="I54" s="155" t="str">
        <f>IF(V36=0,"",IF(V36=1,"+ عدد 1  محرك ",IF(AND(V36&gt;=2,V36&lt;=10)," + عدد "&amp;V36&amp;" محركات "," + عدد "&amp;V36&amp;" محرك")))</f>
        <v/>
      </c>
      <c r="J54" s="154"/>
      <c r="K54" s="149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</row>
    <row r="55" spans="1:36">
      <c r="A55" s="148"/>
      <c r="B55" s="148"/>
      <c r="C55" s="148"/>
      <c r="D55" s="148"/>
      <c r="E55" s="148"/>
      <c r="F55" s="148"/>
      <c r="G55" s="149"/>
      <c r="H55" s="149"/>
      <c r="I55" s="155" t="str">
        <f>IF(W36=0,"",IF(W36=1,"+ عدد 1 زورق ",IF(AND(W36&gt;=2,W36&lt;=10)," + عدد "&amp;W36&amp;"  زوارق "," + عدد "&amp;W36&amp;"  زورق")))</f>
        <v/>
      </c>
      <c r="J55" s="154"/>
      <c r="K55" s="149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</row>
    <row r="56" spans="1:36">
      <c r="A56" s="148"/>
      <c r="B56" s="148"/>
      <c r="C56" s="148"/>
      <c r="D56" s="148"/>
      <c r="E56" s="148"/>
      <c r="F56" s="148"/>
      <c r="G56" s="149"/>
      <c r="H56" s="149"/>
      <c r="I56" s="155" t="str">
        <f>IF(X36=0,"",IF(X36=1,"+ عدد 01  سيارة  ",IF(AND(X36&gt;=2,X36&lt;=10)," + عدد "&amp;X36&amp;"  سيارات "," + عدد "&amp;X36&amp;"  سيارة")))</f>
        <v/>
      </c>
      <c r="J56" s="154"/>
      <c r="K56" s="149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</row>
    <row r="57" spans="1:36">
      <c r="A57" s="148"/>
      <c r="B57" s="148"/>
      <c r="C57" s="148"/>
      <c r="D57" s="148"/>
      <c r="E57" s="148"/>
      <c r="F57" s="148"/>
      <c r="G57" s="149"/>
      <c r="H57" s="149"/>
      <c r="I57" s="155" t="str">
        <f>IF(Y36=0,"",IF(Y36=1,"+ عدد 01  شاحنة ",IF(AND(Y36&gt;=2,Y36&lt;=10)," + عدد "&amp;Y36&amp;"  شاحنات "," + عدد "&amp;Y36&amp;"  شاحنة")))</f>
        <v/>
      </c>
      <c r="J57" s="154"/>
      <c r="K57" s="149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</row>
    <row r="58" spans="1:36">
      <c r="A58" s="148"/>
      <c r="B58" s="148"/>
      <c r="C58" s="148"/>
      <c r="D58" s="148"/>
      <c r="E58" s="148"/>
      <c r="F58" s="148"/>
      <c r="G58" s="149"/>
      <c r="H58" s="149"/>
      <c r="I58" s="155" t="str">
        <f>IF(Z36=0,"",IF(Z36=1,"+عدد 01  دراجة نارية ",IF(AND(Z36&gt;=2,Z36&lt;=10)," + عدد "&amp;Z36&amp;"  درجات نارية "," + عدد "&amp;Z36&amp;"  دراجة نارية")))</f>
        <v/>
      </c>
      <c r="J58" s="154"/>
      <c r="K58" s="149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</row>
    <row r="59" spans="1:36">
      <c r="A59" s="148"/>
      <c r="B59" s="148"/>
      <c r="C59" s="148"/>
      <c r="D59" s="148"/>
      <c r="E59" s="148"/>
      <c r="F59" s="148"/>
      <c r="G59" s="149"/>
      <c r="H59" s="149"/>
      <c r="I59" s="155" t="str">
        <f>IF(AD36=0,"",IF(AD36=1,"+ عدد 01  هاتف جوال ",IF(AND(AD36&gt;=2,AD36&lt;=10)," + عدد "&amp;AD36&amp;"  هواتف جوالة "," + عدد "&amp;AD36&amp;"  هاتف جوال")))</f>
        <v/>
      </c>
      <c r="J59" s="154"/>
      <c r="K59" s="149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</row>
    <row r="60" spans="1:36">
      <c r="A60" s="148"/>
      <c r="B60" s="148"/>
      <c r="C60" s="148"/>
      <c r="D60" s="148"/>
      <c r="E60" s="148"/>
      <c r="F60" s="148"/>
      <c r="G60" s="149"/>
      <c r="H60" s="149"/>
      <c r="I60" s="155" t="str">
        <f>IF(AG36=0,"",IF(AG36=1,"+ عدد 01  جمازة ",IF(AND(AG36&gt;=2,AG36&lt;=10)," + عدد "&amp;AG36&amp;"  جمازات "," + عدد "&amp;AG36&amp;"  جمازة")))</f>
        <v/>
      </c>
      <c r="J60" s="154"/>
      <c r="K60" s="149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spans="1:36">
      <c r="A61" s="148"/>
      <c r="B61" s="148"/>
      <c r="C61" s="148"/>
      <c r="D61" s="148"/>
      <c r="E61" s="148"/>
      <c r="F61" s="148"/>
      <c r="G61" s="149"/>
      <c r="H61" s="149"/>
      <c r="I61" s="155" t="str">
        <f>IF(AF36=0,"",IF(AF36=1,"+ عدد 01  بوصلة ",IF(AND(AF36&gt;=2,AF36&lt;=10)," + عدد "&amp;AF36&amp;"  بوصلات "," + عدد "&amp;AF36&amp;"  بوصلة")))</f>
        <v/>
      </c>
      <c r="J61" s="154"/>
      <c r="K61" s="149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</row>
    <row r="62" spans="1:36">
      <c r="A62" s="148"/>
      <c r="B62" s="148"/>
      <c r="C62" s="148"/>
      <c r="D62" s="148"/>
      <c r="E62" s="148"/>
      <c r="F62" s="148"/>
      <c r="G62" s="149"/>
      <c r="H62" s="149"/>
      <c r="I62" s="155" t="str">
        <f>IF(AH36=0,"",IF(AH36=1,"+ عدد 01  كاياك ",IF(AND(AH36&gt;=2,AH36&lt;=10)," + عدد "&amp;AH36&amp;"  كاياك "," + عدد "&amp;AH36&amp;"  كاياك")))</f>
        <v/>
      </c>
      <c r="J62" s="154"/>
      <c r="K62" s="149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</row>
    <row r="63" spans="1:36">
      <c r="A63" s="148"/>
      <c r="B63" s="148"/>
      <c r="C63" s="148"/>
      <c r="D63" s="148"/>
      <c r="E63" s="148"/>
      <c r="F63" s="148"/>
      <c r="G63" s="149"/>
      <c r="H63" s="149"/>
      <c r="I63" s="155" t="str">
        <f>IF(AI36=0,"",IF(AI36=1,"+ عدد 01  ناقلة ",IF(AND(AI36&gt;=2,AI36&lt;=10)," + عدد "&amp;AI36&amp;"  ناقلة "," + عدد "&amp;AI36&amp;"  ناقلة")))</f>
        <v/>
      </c>
      <c r="J63" s="154"/>
      <c r="K63" s="149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</row>
    <row r="64" spans="1:36" ht="60">
      <c r="A64" s="148"/>
      <c r="B64" s="148"/>
      <c r="C64" s="148"/>
      <c r="D64" s="148"/>
      <c r="E64" s="148"/>
      <c r="F64" s="148"/>
      <c r="G64" s="149"/>
      <c r="H64" s="149"/>
      <c r="I64" s="156" t="str">
        <f>AJ36</f>
        <v xml:space="preserve">  جرار فلاحي + صهريج مياه</v>
      </c>
      <c r="J64" s="154"/>
      <c r="K64" s="149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</row>
    <row r="65" spans="1:36">
      <c r="A65" s="148"/>
      <c r="B65" s="148"/>
      <c r="C65" s="148"/>
      <c r="D65" s="148"/>
      <c r="E65" s="148"/>
      <c r="F65" s="148"/>
      <c r="G65" s="149"/>
      <c r="H65" s="149"/>
      <c r="I65" s="153" t="str">
        <f>IF(AA36=0,""," + "&amp;AA36&amp;" دينار تونسي")</f>
        <v/>
      </c>
      <c r="J65" s="154"/>
      <c r="K65" s="149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</row>
    <row r="66" spans="1:36">
      <c r="A66" s="148"/>
      <c r="B66" s="148"/>
      <c r="C66" s="148"/>
      <c r="D66" s="148"/>
      <c r="E66" s="148"/>
      <c r="F66" s="148"/>
      <c r="G66" s="149"/>
      <c r="H66" s="149"/>
      <c r="I66" s="151" t="str">
        <f>IF(AB36=0,""," + "&amp;AB36&amp;" دولار")</f>
        <v/>
      </c>
      <c r="J66" s="149"/>
      <c r="K66" s="149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</row>
    <row r="67" spans="1:36">
      <c r="A67" s="148"/>
      <c r="B67" s="148"/>
      <c r="C67" s="148"/>
      <c r="D67" s="148"/>
      <c r="E67" s="148"/>
      <c r="F67" s="148"/>
      <c r="G67" s="149"/>
      <c r="H67" s="149"/>
      <c r="I67" s="151" t="str">
        <f>IF(AC36=0,""," + "&amp;AC36&amp;" أورو")</f>
        <v/>
      </c>
      <c r="J67" s="149"/>
      <c r="K67" s="149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</row>
    <row r="68" spans="1:36">
      <c r="A68" s="148"/>
      <c r="B68" s="148"/>
      <c r="C68" s="148"/>
      <c r="D68" s="148"/>
      <c r="E68" s="148"/>
      <c r="F68" s="148"/>
      <c r="G68" s="149"/>
      <c r="H68" s="149"/>
      <c r="I68" s="151" t="str">
        <f>IF(AE36=0,""," + "&amp;AE36&amp;" لتر من البنزين")</f>
        <v/>
      </c>
      <c r="J68" s="149"/>
      <c r="K68" s="149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</row>
    <row r="69" spans="1:36">
      <c r="A69" s="148"/>
      <c r="B69" s="148"/>
      <c r="C69" s="148"/>
      <c r="D69" s="148"/>
      <c r="E69" s="148"/>
      <c r="F69" s="148"/>
      <c r="G69" s="149"/>
      <c r="H69" s="149"/>
      <c r="I69" s="150"/>
      <c r="J69" s="149"/>
      <c r="K69" s="149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</row>
    <row r="70" spans="1:36">
      <c r="A70" s="148"/>
      <c r="B70" s="148"/>
      <c r="C70" s="148"/>
      <c r="D70" s="148"/>
      <c r="E70" s="148"/>
      <c r="F70" s="148"/>
      <c r="G70" s="149"/>
      <c r="H70" s="149"/>
      <c r="I70" s="150"/>
      <c r="J70" s="149"/>
      <c r="K70" s="149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</row>
    <row r="71" spans="1:36">
      <c r="A71" s="148"/>
      <c r="B71" s="148"/>
      <c r="C71" s="148"/>
      <c r="D71" s="148"/>
      <c r="E71" s="148"/>
      <c r="F71" s="148"/>
      <c r="G71" s="149"/>
      <c r="H71" s="149"/>
      <c r="I71" s="150"/>
      <c r="J71" s="149"/>
      <c r="K71" s="149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</row>
    <row r="72" spans="1:36">
      <c r="A72" s="148"/>
      <c r="B72" s="148"/>
      <c r="C72" s="148"/>
      <c r="D72" s="148"/>
      <c r="E72" s="148"/>
      <c r="F72" s="148"/>
      <c r="G72" s="149"/>
      <c r="H72" s="149"/>
      <c r="I72" s="150"/>
      <c r="J72" s="149"/>
      <c r="K72" s="149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</row>
    <row r="73" spans="1:36">
      <c r="A73" s="148"/>
      <c r="B73" s="148"/>
      <c r="C73" s="148"/>
      <c r="D73" s="148"/>
      <c r="E73" s="148"/>
      <c r="F73" s="148"/>
      <c r="G73" s="149"/>
      <c r="H73" s="149"/>
      <c r="I73" s="150"/>
      <c r="J73" s="149"/>
      <c r="K73" s="149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</row>
    <row r="74" spans="1:36">
      <c r="A74" s="148"/>
      <c r="B74" s="148"/>
      <c r="C74" s="148"/>
      <c r="D74" s="148"/>
      <c r="E74" s="148"/>
      <c r="F74" s="148"/>
      <c r="G74" s="149"/>
      <c r="H74" s="149"/>
      <c r="I74" s="150"/>
      <c r="J74" s="149"/>
      <c r="K74" s="149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</row>
    <row r="75" spans="1:36" ht="154.15" customHeight="1">
      <c r="A75" s="148"/>
      <c r="B75" s="148"/>
      <c r="C75" s="148"/>
      <c r="D75" s="148"/>
      <c r="E75" s="148"/>
      <c r="F75" s="148"/>
      <c r="G75" s="149"/>
      <c r="H75" s="149"/>
      <c r="I75" s="152" t="str">
        <f>IF(I53&amp;I54&amp;I55&amp;I56&amp;I57&amp;I58&amp;I59&amp;I60&amp;I61&amp;I62&amp;I63&amp;I64&amp;I65&amp;I66&amp;I67&amp;I68&amp;I69&amp;I70&amp;I71&amp;I72&amp;I73&amp;I74="","-",IF(LEFT(I53&amp;I54&amp;I55&amp;I56&amp;I57&amp;I58&amp;I59&amp;I60&amp;I61&amp;I62&amp;I63&amp;I64&amp;I65&amp;I66&amp;I67&amp;I68&amp;I69&amp;I70&amp;I71&amp;I72&amp;I73&amp;I74,1)=" ",RIGHT(I53&amp;I54&amp;I55&amp;I56&amp;I57&amp;I58&amp;I59&amp;I60&amp;I61&amp;I62&amp;I63&amp;I64&amp;I65&amp;I66&amp;I67&amp;I68&amp;I69&amp;I70&amp;I71&amp;I72&amp;I73&amp;I74,LEN(I53&amp;I54&amp;I55&amp;I56&amp;I57&amp;I58&amp;I59&amp;I60&amp;I61&amp;I62&amp;I63&amp;I64&amp;I65&amp;I66&amp;I67&amp;I68&amp;I69&amp;I70&amp;I71&amp;I72&amp;I73&amp;I74)-2),RIGHT(I53&amp;I54&amp;I55&amp;I56&amp;I57&amp;I58&amp;I59&amp;I60&amp;I61&amp;I62&amp;I63&amp;I64&amp;I65&amp;I66&amp;I67&amp;I68&amp;I69&amp;I70&amp;I71&amp;I72&amp;I73&amp;I74,LEN(I53&amp;I54&amp;I55&amp;I56&amp;I57&amp;I58&amp;I59&amp;I60&amp;I61&amp;I62&amp;I63&amp;I64&amp;I65&amp;I66&amp;I67&amp;I68&amp;I69&amp;I70&amp;I71&amp;I72&amp;I73&amp;I74)-1)))</f>
        <v>جرار فلاحي + صهريج مياه</v>
      </c>
      <c r="J75" s="149"/>
      <c r="K75" s="149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</row>
    <row r="76" spans="1:36">
      <c r="A76" s="148"/>
      <c r="B76" s="148"/>
      <c r="C76" s="148"/>
      <c r="D76" s="148"/>
      <c r="E76" s="148"/>
      <c r="F76" s="148"/>
      <c r="G76" s="149"/>
      <c r="H76" s="149"/>
      <c r="I76" s="149"/>
      <c r="J76" s="149"/>
      <c r="K76" s="149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</row>
    <row r="77" spans="1:36">
      <c r="A77" s="148"/>
      <c r="B77" s="148"/>
      <c r="C77" s="148"/>
      <c r="D77" s="148"/>
      <c r="E77" s="148"/>
      <c r="F77" s="148"/>
      <c r="G77" s="149"/>
      <c r="H77" s="149"/>
      <c r="I77" s="149"/>
      <c r="J77" s="149"/>
      <c r="K77" s="149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</row>
    <row r="78" spans="1:36">
      <c r="A78" s="148"/>
      <c r="B78" s="148"/>
      <c r="C78" s="148"/>
      <c r="D78" s="148"/>
      <c r="E78" s="148"/>
      <c r="F78" s="148"/>
      <c r="G78" s="149"/>
      <c r="H78" s="149"/>
      <c r="I78" s="149"/>
      <c r="J78" s="149"/>
      <c r="K78" s="149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</row>
    <row r="79" spans="1:36">
      <c r="A79" s="148"/>
      <c r="B79" s="148"/>
      <c r="C79" s="148"/>
      <c r="D79" s="148"/>
      <c r="E79" s="148"/>
      <c r="F79" s="148"/>
      <c r="G79" s="149"/>
      <c r="H79" s="149"/>
      <c r="I79" s="149"/>
      <c r="J79" s="149"/>
      <c r="K79" s="149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</row>
    <row r="80" spans="1:36">
      <c r="A80" s="148"/>
      <c r="B80" s="148"/>
      <c r="C80" s="148"/>
      <c r="D80" s="148"/>
      <c r="E80" s="148"/>
      <c r="F80" s="148"/>
      <c r="G80" s="149"/>
      <c r="H80" s="149"/>
      <c r="I80" s="149"/>
      <c r="J80" s="149"/>
      <c r="K80" s="149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</row>
    <row r="81" spans="1:36">
      <c r="A81" s="148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</row>
    <row r="82" spans="1:36">
      <c r="A82" s="148"/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</row>
    <row r="83" spans="1:36">
      <c r="A83" s="148"/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</row>
    <row r="84" spans="1:36">
      <c r="A84" s="148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</row>
    <row r="85" spans="1:36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</row>
    <row r="86" spans="1:36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</row>
    <row r="87" spans="1:36">
      <c r="A87" s="148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</row>
    <row r="88" spans="1:36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</row>
    <row r="89" spans="1:36">
      <c r="A89" s="148"/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</row>
    <row r="90" spans="1:36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</row>
    <row r="91" spans="1:36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</row>
    <row r="92" spans="1:36">
      <c r="A92" s="148"/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</row>
    <row r="93" spans="1:36">
      <c r="A93" s="148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</row>
    <row r="94" spans="1:36">
      <c r="A94" s="148"/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</row>
    <row r="95" spans="1:36">
      <c r="A95" s="148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</row>
    <row r="96" spans="1:36">
      <c r="A96" s="148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77"/>
      <c r="AA96" s="77"/>
      <c r="AB96" s="77"/>
      <c r="AC96" s="77"/>
    </row>
    <row r="97" spans="1:29">
      <c r="A97" s="148"/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77"/>
      <c r="AA97" s="77"/>
      <c r="AB97" s="77"/>
      <c r="AC97" s="77"/>
    </row>
    <row r="98" spans="1:29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77"/>
      <c r="AA98" s="77"/>
      <c r="AB98" s="77"/>
      <c r="AC98" s="77"/>
    </row>
    <row r="99" spans="1:29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77"/>
      <c r="AA99" s="77"/>
      <c r="AB99" s="77"/>
      <c r="AC99" s="77"/>
    </row>
    <row r="100" spans="1:29">
      <c r="A100" s="148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77"/>
      <c r="AA100" s="77"/>
      <c r="AB100" s="77"/>
      <c r="AC100" s="77"/>
    </row>
    <row r="101" spans="1:29">
      <c r="A101" s="148"/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77"/>
      <c r="AA101" s="77"/>
      <c r="AB101" s="77"/>
      <c r="AC101" s="77"/>
    </row>
    <row r="102" spans="1:29">
      <c r="A102" s="148"/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77"/>
      <c r="AA102" s="77"/>
      <c r="AB102" s="77"/>
      <c r="AC102" s="77"/>
    </row>
    <row r="103" spans="1:29">
      <c r="A103" s="148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77"/>
      <c r="AA103" s="77"/>
      <c r="AB103" s="77"/>
      <c r="AC103" s="77"/>
    </row>
    <row r="104" spans="1:29">
      <c r="A104" s="148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77"/>
      <c r="AA104" s="77"/>
      <c r="AB104" s="77"/>
      <c r="AC104" s="77"/>
    </row>
    <row r="105" spans="1:29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77"/>
      <c r="AA105" s="77"/>
      <c r="AB105" s="77"/>
      <c r="AC105" s="77"/>
    </row>
    <row r="106" spans="1:29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77"/>
      <c r="AA106" s="77"/>
      <c r="AB106" s="77"/>
      <c r="AC106" s="77"/>
    </row>
    <row r="107" spans="1:29">
      <c r="A107" s="148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77"/>
      <c r="AA107" s="77"/>
      <c r="AB107" s="77"/>
      <c r="AC107" s="77"/>
    </row>
    <row r="108" spans="1:29">
      <c r="A108" s="148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77"/>
      <c r="AA108" s="77"/>
      <c r="AB108" s="77"/>
      <c r="AC108" s="77"/>
    </row>
    <row r="109" spans="1:29">
      <c r="A109" s="148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77"/>
      <c r="AA109" s="77"/>
      <c r="AB109" s="77"/>
      <c r="AC109" s="77"/>
    </row>
    <row r="110" spans="1:29">
      <c r="A110" s="148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77"/>
      <c r="AA110" s="77"/>
      <c r="AB110" s="77"/>
      <c r="AC110" s="77"/>
    </row>
    <row r="111" spans="1:29">
      <c r="A111" s="148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77"/>
      <c r="AA111" s="77"/>
      <c r="AB111" s="77"/>
      <c r="AC111" s="77"/>
    </row>
    <row r="112" spans="1:29">
      <c r="A112" s="148"/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77"/>
      <c r="AA112" s="77"/>
      <c r="AB112" s="77"/>
      <c r="AC112" s="77"/>
    </row>
    <row r="113" spans="1:29">
      <c r="A113" s="148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77"/>
      <c r="AA113" s="77"/>
      <c r="AB113" s="77"/>
      <c r="AC113" s="77"/>
    </row>
    <row r="114" spans="1:29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77"/>
      <c r="AA114" s="77"/>
      <c r="AB114" s="77"/>
      <c r="AC114" s="77"/>
    </row>
    <row r="115" spans="1:29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77"/>
      <c r="AA115" s="77"/>
      <c r="AB115" s="77"/>
      <c r="AC115" s="77"/>
    </row>
    <row r="116" spans="1:29">
      <c r="A116" s="148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77"/>
      <c r="AA116" s="77"/>
      <c r="AB116" s="77"/>
      <c r="AC116" s="77"/>
    </row>
    <row r="117" spans="1:29">
      <c r="A117" s="148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77"/>
      <c r="AA117" s="77"/>
      <c r="AB117" s="77"/>
      <c r="AC117" s="77"/>
    </row>
    <row r="118" spans="1:29">
      <c r="A118" s="148"/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77"/>
      <c r="AA118" s="77"/>
      <c r="AB118" s="77"/>
      <c r="AC118" s="77"/>
    </row>
    <row r="119" spans="1:29">
      <c r="A119" s="148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77"/>
      <c r="AA119" s="77"/>
      <c r="AB119" s="77"/>
      <c r="AC119" s="77"/>
    </row>
    <row r="120" spans="1:29">
      <c r="A120" s="148"/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77"/>
      <c r="AA120" s="77"/>
      <c r="AB120" s="77"/>
      <c r="AC120" s="77"/>
    </row>
    <row r="121" spans="1:29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77"/>
      <c r="AA121" s="77"/>
      <c r="AB121" s="77"/>
      <c r="AC121" s="77"/>
    </row>
    <row r="122" spans="1:29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77"/>
      <c r="AA122" s="77"/>
      <c r="AB122" s="77"/>
      <c r="AC122" s="77"/>
    </row>
    <row r="123" spans="1:29">
      <c r="A123" s="148"/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77"/>
      <c r="AA123" s="77"/>
      <c r="AB123" s="77"/>
      <c r="AC123" s="77"/>
    </row>
    <row r="124" spans="1:29">
      <c r="A124" s="148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77"/>
      <c r="AA124" s="77"/>
      <c r="AB124" s="77"/>
      <c r="AC124" s="77"/>
    </row>
    <row r="125" spans="1:29">
      <c r="A125" s="148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77"/>
      <c r="AA125" s="77"/>
      <c r="AB125" s="77"/>
      <c r="AC125" s="77"/>
    </row>
    <row r="126" spans="1:29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</row>
    <row r="127" spans="1:29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</row>
    <row r="128" spans="1:29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</row>
    <row r="129" spans="1: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</row>
    <row r="130" spans="1:29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</row>
    <row r="131" spans="1:29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</row>
    <row r="132" spans="1:29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</row>
    <row r="133" spans="1:29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</row>
    <row r="134" spans="1:29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</row>
    <row r="135" spans="1:29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</row>
    <row r="136" spans="1:29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</row>
    <row r="137" spans="1:29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</row>
    <row r="138" spans="1:29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</row>
    <row r="139" spans="1:2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</row>
    <row r="140" spans="1:29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</row>
    <row r="141" spans="1:29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</row>
    <row r="142" spans="1:29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</row>
    <row r="143" spans="1:29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</row>
    <row r="144" spans="1:29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</row>
    <row r="145" spans="1:29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</row>
    <row r="146" spans="1:29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</row>
  </sheetData>
  <sheetProtection sheet="1" formatCells="0" insertHyperlinks="0" autoFilter="0" pivotTables="0"/>
  <pageMargins left="0.25" right="0.25" top="0.75" bottom="0.75" header="0.3" footer="0.3"/>
  <pageSetup paperSize="9" scale="28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3BDC88-B70D-4EF6-B9A9-B4FC78C973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6</vt:i4>
      </vt:variant>
    </vt:vector>
  </HeadingPairs>
  <TitlesOfParts>
    <vt:vector size="15" baseType="lpstr">
      <vt:lpstr>اسلحة</vt:lpstr>
      <vt:lpstr>مشروبات كحولية</vt:lpstr>
      <vt:lpstr>مخدرات</vt:lpstr>
      <vt:lpstr>مخدرات (2)</vt:lpstr>
      <vt:lpstr>غرق مراكب الهجرة</vt:lpstr>
      <vt:lpstr>بطاقة الاجتياز</vt:lpstr>
      <vt:lpstr>الاجتياز</vt:lpstr>
      <vt:lpstr>برا</vt:lpstr>
      <vt:lpstr>بحرا</vt:lpstr>
      <vt:lpstr>اسلحة!Zone_d_impression</vt:lpstr>
      <vt:lpstr>الاجتياز!Zone_d_impression</vt:lpstr>
      <vt:lpstr>بحرا!Zone_d_impression</vt:lpstr>
      <vt:lpstr>'بطاقة الاجتياز'!Zone_d_impression</vt:lpstr>
      <vt:lpstr>'غرق مراكب الهجرة'!Zone_d_impression</vt:lpstr>
      <vt:lpstr>'مشروبات كحولية'!Zone_d_impression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2026-07-07T10:31:06Z</dcterms:modified>
</cp:coreProperties>
</file>